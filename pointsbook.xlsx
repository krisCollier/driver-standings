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driver-standings\"/>
    </mc:Choice>
  </mc:AlternateContent>
  <xr:revisionPtr revIDLastSave="0" documentId="13_ncr:1_{D262678C-629B-4548-B931-9AD7DA79DCA8}" xr6:coauthVersionLast="47" xr6:coauthVersionMax="47" xr10:uidLastSave="{00000000-0000-0000-0000-000000000000}"/>
  <bookViews>
    <workbookView xWindow="-6090" yWindow="-21720" windowWidth="38640" windowHeight="21120" activeTab="1" xr2:uid="{263842DB-E109-493C-9BC7-CFFEC0B2A672}"/>
  </bookViews>
  <sheets>
    <sheet name="Drivers" sheetId="2" r:id="rId1"/>
    <sheet name="Constructors" sheetId="6" r:id="rId2"/>
    <sheet name="Top" sheetId="7" r:id="rId3"/>
    <sheet name="Mid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69" i="8" l="1"/>
  <c r="AL168" i="8"/>
  <c r="W168" i="8"/>
  <c r="AH167" i="8"/>
  <c r="AF167" i="8"/>
  <c r="AE167" i="8"/>
  <c r="W167" i="8"/>
  <c r="AJ166" i="8"/>
  <c r="W166" i="8"/>
  <c r="AK165" i="8"/>
  <c r="AH165" i="8"/>
  <c r="AF165" i="8"/>
  <c r="AE165" i="8"/>
  <c r="AC165" i="8"/>
  <c r="AB165" i="8"/>
  <c r="Z165" i="8"/>
  <c r="X165" i="8"/>
  <c r="W165" i="8"/>
  <c r="AE164" i="8"/>
  <c r="AC164" i="8"/>
  <c r="AB164" i="8"/>
  <c r="W164" i="8"/>
  <c r="AH164" i="8" s="1"/>
  <c r="AH163" i="8"/>
  <c r="AF163" i="8"/>
  <c r="AE163" i="8"/>
  <c r="AB163" i="8"/>
  <c r="Z163" i="8"/>
  <c r="X163" i="8"/>
  <c r="W163" i="8"/>
  <c r="AJ162" i="8"/>
  <c r="AH162" i="8"/>
  <c r="W162" i="8"/>
  <c r="AK161" i="8"/>
  <c r="AH161" i="8"/>
  <c r="AF161" i="8"/>
  <c r="AE161" i="8"/>
  <c r="AC161" i="8"/>
  <c r="AB161" i="8"/>
  <c r="Z161" i="8"/>
  <c r="X161" i="8"/>
  <c r="W161" i="8"/>
  <c r="AH160" i="8"/>
  <c r="AE160" i="8"/>
  <c r="AC160" i="8"/>
  <c r="AB160" i="8"/>
  <c r="W160" i="8"/>
  <c r="AF160" i="8" s="1"/>
  <c r="AK159" i="8"/>
  <c r="AH159" i="8"/>
  <c r="AF159" i="8"/>
  <c r="AE159" i="8"/>
  <c r="AB159" i="8"/>
  <c r="Z159" i="8"/>
  <c r="X159" i="8"/>
  <c r="W159" i="8"/>
  <c r="AJ158" i="8"/>
  <c r="AH158" i="8"/>
  <c r="AB158" i="8"/>
  <c r="W158" i="8"/>
  <c r="AK157" i="8"/>
  <c r="AH157" i="8"/>
  <c r="AF157" i="8"/>
  <c r="AE157" i="8"/>
  <c r="AC157" i="8"/>
  <c r="AB157" i="8"/>
  <c r="Z157" i="8"/>
  <c r="X157" i="8"/>
  <c r="W157" i="8"/>
  <c r="AH156" i="8"/>
  <c r="AE156" i="8"/>
  <c r="AC156" i="8"/>
  <c r="AB156" i="8"/>
  <c r="W156" i="8"/>
  <c r="AF156" i="8" s="1"/>
  <c r="AK155" i="8"/>
  <c r="AH155" i="8"/>
  <c r="AF155" i="8"/>
  <c r="AE155" i="8"/>
  <c r="AB155" i="8"/>
  <c r="Z155" i="8"/>
  <c r="X155" i="8"/>
  <c r="W155" i="8"/>
  <c r="W154" i="8"/>
  <c r="AK153" i="8"/>
  <c r="AH153" i="8"/>
  <c r="AF153" i="8"/>
  <c r="AE153" i="8"/>
  <c r="AC153" i="8"/>
  <c r="AB153" i="8"/>
  <c r="Z153" i="8"/>
  <c r="X153" i="8"/>
  <c r="W153" i="8"/>
  <c r="AH152" i="8"/>
  <c r="AE152" i="8"/>
  <c r="AC152" i="8"/>
  <c r="AB152" i="8"/>
  <c r="W152" i="8"/>
  <c r="AF152" i="8" s="1"/>
  <c r="AK151" i="8"/>
  <c r="AH151" i="8"/>
  <c r="AF151" i="8"/>
  <c r="AE151" i="8"/>
  <c r="AB151" i="8"/>
  <c r="Z151" i="8"/>
  <c r="X151" i="8"/>
  <c r="W151" i="8"/>
  <c r="AB150" i="8"/>
  <c r="W150" i="8"/>
  <c r="AK149" i="8"/>
  <c r="AH149" i="8"/>
  <c r="AF149" i="8"/>
  <c r="AE149" i="8"/>
  <c r="AC149" i="8"/>
  <c r="AB149" i="8"/>
  <c r="Z149" i="8"/>
  <c r="X149" i="8"/>
  <c r="W149" i="8"/>
  <c r="AH148" i="8"/>
  <c r="AE148" i="8"/>
  <c r="AC148" i="8"/>
  <c r="AB148" i="8"/>
  <c r="W148" i="8"/>
  <c r="AF148" i="8" s="1"/>
  <c r="AK147" i="8"/>
  <c r="AH147" i="8"/>
  <c r="AF147" i="8"/>
  <c r="AE147" i="8"/>
  <c r="AB147" i="8"/>
  <c r="Z147" i="8"/>
  <c r="X147" i="8"/>
  <c r="W147" i="8"/>
  <c r="AJ146" i="8"/>
  <c r="AH146" i="8"/>
  <c r="W146" i="8"/>
  <c r="AK145" i="8"/>
  <c r="AH145" i="8"/>
  <c r="AF145" i="8"/>
  <c r="AE145" i="8"/>
  <c r="AC145" i="8"/>
  <c r="AB145" i="8"/>
  <c r="Z145" i="8"/>
  <c r="X145" i="8"/>
  <c r="W145" i="8"/>
  <c r="AH144" i="8"/>
  <c r="AE144" i="8"/>
  <c r="AC144" i="8"/>
  <c r="AB144" i="8"/>
  <c r="W144" i="8"/>
  <c r="AF144" i="8" s="1"/>
  <c r="AK143" i="8"/>
  <c r="AH143" i="8"/>
  <c r="AF143" i="8"/>
  <c r="AE143" i="8"/>
  <c r="AB143" i="8"/>
  <c r="Z143" i="8"/>
  <c r="X143" i="8"/>
  <c r="W143" i="8"/>
  <c r="AH142" i="8"/>
  <c r="AB142" i="8"/>
  <c r="W142" i="8"/>
  <c r="AK141" i="8"/>
  <c r="AH141" i="8"/>
  <c r="AF141" i="8"/>
  <c r="AE141" i="8"/>
  <c r="AC141" i="8"/>
  <c r="AB141" i="8"/>
  <c r="Z141" i="8"/>
  <c r="X141" i="8"/>
  <c r="W141" i="8"/>
  <c r="AH140" i="8"/>
  <c r="AE140" i="8"/>
  <c r="AC140" i="8"/>
  <c r="AB140" i="8"/>
  <c r="W140" i="8"/>
  <c r="AF140" i="8" s="1"/>
  <c r="AK139" i="8"/>
  <c r="AH139" i="8"/>
  <c r="AF139" i="8"/>
  <c r="AE139" i="8"/>
  <c r="AB139" i="8"/>
  <c r="Z139" i="8"/>
  <c r="X139" i="8"/>
  <c r="W139" i="8"/>
  <c r="W138" i="8"/>
  <c r="AK137" i="8"/>
  <c r="AH137" i="8"/>
  <c r="AF137" i="8"/>
  <c r="AE137" i="8"/>
  <c r="AC137" i="8"/>
  <c r="AB137" i="8"/>
  <c r="Z137" i="8"/>
  <c r="X137" i="8"/>
  <c r="W137" i="8"/>
  <c r="AH136" i="8"/>
  <c r="AE136" i="8"/>
  <c r="AC136" i="8"/>
  <c r="AB136" i="8"/>
  <c r="W136" i="8"/>
  <c r="AF136" i="8" s="1"/>
  <c r="AK135" i="8"/>
  <c r="AH135" i="8"/>
  <c r="AF135" i="8"/>
  <c r="AE135" i="8"/>
  <c r="AB135" i="8"/>
  <c r="Z135" i="8"/>
  <c r="X135" i="8"/>
  <c r="W135" i="8"/>
  <c r="AK134" i="8"/>
  <c r="AJ134" i="8"/>
  <c r="AB134" i="8"/>
  <c r="W134" i="8"/>
  <c r="AE133" i="8"/>
  <c r="AC133" i="8"/>
  <c r="W133" i="8"/>
  <c r="AH133" i="8" s="1"/>
  <c r="AJ132" i="8"/>
  <c r="AI132" i="8"/>
  <c r="AH132" i="8"/>
  <c r="AB132" i="8"/>
  <c r="Z132" i="8"/>
  <c r="X132" i="8"/>
  <c r="W132" i="8"/>
  <c r="W131" i="8"/>
  <c r="W130" i="8"/>
  <c r="AI129" i="8"/>
  <c r="AH129" i="8"/>
  <c r="AE129" i="8"/>
  <c r="AC129" i="8"/>
  <c r="AB129" i="8"/>
  <c r="Z129" i="8"/>
  <c r="X129" i="8"/>
  <c r="W129" i="8"/>
  <c r="AB128" i="8"/>
  <c r="Z128" i="8"/>
  <c r="W128" i="8"/>
  <c r="AI128" i="8" s="1"/>
  <c r="AJ127" i="8"/>
  <c r="AI127" i="8"/>
  <c r="AH127" i="8"/>
  <c r="AE127" i="8"/>
  <c r="AD127" i="8"/>
  <c r="AC127" i="8"/>
  <c r="AA127" i="8"/>
  <c r="Z127" i="8"/>
  <c r="X127" i="8"/>
  <c r="W127" i="8"/>
  <c r="W126" i="8"/>
  <c r="AA125" i="8"/>
  <c r="Z125" i="8"/>
  <c r="W125" i="8"/>
  <c r="AH125" i="8" s="1"/>
  <c r="AG124" i="8"/>
  <c r="AE124" i="8"/>
  <c r="AC124" i="8"/>
  <c r="W124" i="8"/>
  <c r="AK123" i="8"/>
  <c r="AA123" i="8"/>
  <c r="Z123" i="8"/>
  <c r="W123" i="8"/>
  <c r="AG123" i="8" s="1"/>
  <c r="AG122" i="8"/>
  <c r="AE122" i="8"/>
  <c r="AC122" i="8"/>
  <c r="W122" i="8"/>
  <c r="AK121" i="8"/>
  <c r="AA121" i="8"/>
  <c r="Z121" i="8"/>
  <c r="W121" i="8"/>
  <c r="AG121" i="8" s="1"/>
  <c r="AG120" i="8"/>
  <c r="AE120" i="8"/>
  <c r="AC120" i="8"/>
  <c r="W120" i="8"/>
  <c r="AK119" i="8"/>
  <c r="AA119" i="8"/>
  <c r="Z119" i="8"/>
  <c r="W119" i="8"/>
  <c r="AG119" i="8" s="1"/>
  <c r="AG118" i="8"/>
  <c r="AE118" i="8"/>
  <c r="AC118" i="8"/>
  <c r="W118" i="8"/>
  <c r="AK117" i="8"/>
  <c r="AH117" i="8"/>
  <c r="AA117" i="8"/>
  <c r="Z117" i="8"/>
  <c r="W117" i="8"/>
  <c r="AG116" i="8"/>
  <c r="AE116" i="8"/>
  <c r="AC116" i="8"/>
  <c r="W116" i="8"/>
  <c r="W115" i="8"/>
  <c r="AG114" i="8"/>
  <c r="AE114" i="8"/>
  <c r="AC114" i="8"/>
  <c r="Y114" i="8"/>
  <c r="W114" i="8"/>
  <c r="AK113" i="8"/>
  <c r="AH113" i="8"/>
  <c r="AA113" i="8"/>
  <c r="Z113" i="8"/>
  <c r="W113" i="8"/>
  <c r="AI112" i="8"/>
  <c r="AG112" i="8"/>
  <c r="AE112" i="8"/>
  <c r="AC112" i="8"/>
  <c r="Y112" i="8"/>
  <c r="W112" i="8"/>
  <c r="W111" i="8"/>
  <c r="AI110" i="8"/>
  <c r="AG110" i="8"/>
  <c r="AE110" i="8"/>
  <c r="AC110" i="8"/>
  <c r="Y110" i="8"/>
  <c r="W110" i="8"/>
  <c r="AK109" i="8"/>
  <c r="AH109" i="8"/>
  <c r="AD109" i="8"/>
  <c r="AA109" i="8"/>
  <c r="W109" i="8"/>
  <c r="AI108" i="8"/>
  <c r="AG108" i="8"/>
  <c r="AE108" i="8"/>
  <c r="AC108" i="8"/>
  <c r="Y108" i="8"/>
  <c r="W108" i="8"/>
  <c r="W107" i="8"/>
  <c r="AI106" i="8"/>
  <c r="AG106" i="8"/>
  <c r="AE106" i="8"/>
  <c r="AC106" i="8"/>
  <c r="Y106" i="8"/>
  <c r="W106" i="8"/>
  <c r="AK105" i="8"/>
  <c r="AH105" i="8"/>
  <c r="AD105" i="8"/>
  <c r="AA105" i="8"/>
  <c r="Z105" i="8"/>
  <c r="W105" i="8"/>
  <c r="AI104" i="8"/>
  <c r="AG104" i="8"/>
  <c r="AE104" i="8"/>
  <c r="AC104" i="8"/>
  <c r="Y104" i="8"/>
  <c r="W104" i="8"/>
  <c r="AK103" i="8"/>
  <c r="AH103" i="8"/>
  <c r="AD103" i="8"/>
  <c r="AC103" i="8"/>
  <c r="AB103" i="8"/>
  <c r="AA103" i="8"/>
  <c r="Y103" i="8"/>
  <c r="W103" i="8"/>
  <c r="AE103" i="8" s="1"/>
  <c r="AK102" i="8"/>
  <c r="AJ102" i="8"/>
  <c r="AI102" i="8"/>
  <c r="AH102" i="8"/>
  <c r="AE102" i="8"/>
  <c r="AD102" i="8"/>
  <c r="AC102" i="8"/>
  <c r="AB102" i="8"/>
  <c r="AA102" i="8"/>
  <c r="Z102" i="8"/>
  <c r="Y102" i="8"/>
  <c r="W102" i="8"/>
  <c r="W101" i="8"/>
  <c r="W100" i="8"/>
  <c r="AJ99" i="8"/>
  <c r="AD99" i="8"/>
  <c r="AC99" i="8"/>
  <c r="AB99" i="8"/>
  <c r="AA99" i="8"/>
  <c r="W99" i="8"/>
  <c r="AH99" i="8" s="1"/>
  <c r="AK98" i="8"/>
  <c r="AJ98" i="8"/>
  <c r="AI98" i="8"/>
  <c r="AH98" i="8"/>
  <c r="AE98" i="8"/>
  <c r="AD98" i="8"/>
  <c r="AC98" i="8"/>
  <c r="AB98" i="8"/>
  <c r="AA98" i="8"/>
  <c r="Z98" i="8"/>
  <c r="Y98" i="8"/>
  <c r="W98" i="8"/>
  <c r="AK97" i="8"/>
  <c r="AH97" i="8"/>
  <c r="AG97" i="8"/>
  <c r="AC97" i="8"/>
  <c r="AB97" i="8"/>
  <c r="Z97" i="8"/>
  <c r="Y97" i="8"/>
  <c r="W97" i="8"/>
  <c r="AE97" i="8" s="1"/>
  <c r="AG96" i="8"/>
  <c r="AE96" i="8"/>
  <c r="AD96" i="8"/>
  <c r="AC96" i="8"/>
  <c r="W96" i="8"/>
  <c r="AI96" i="8" s="1"/>
  <c r="AH95" i="8"/>
  <c r="AG95" i="8"/>
  <c r="W95" i="8"/>
  <c r="AK94" i="8"/>
  <c r="AJ94" i="8"/>
  <c r="AI94" i="8"/>
  <c r="AH94" i="8"/>
  <c r="AE94" i="8"/>
  <c r="AD94" i="8"/>
  <c r="AC94" i="8"/>
  <c r="AB94" i="8"/>
  <c r="AA94" i="8"/>
  <c r="Z94" i="8"/>
  <c r="Y94" i="8"/>
  <c r="W94" i="8"/>
  <c r="AH93" i="8"/>
  <c r="AG93" i="8"/>
  <c r="AE93" i="8"/>
  <c r="W93" i="8"/>
  <c r="AJ92" i="8"/>
  <c r="W92" i="8"/>
  <c r="AH91" i="8"/>
  <c r="AD91" i="8"/>
  <c r="AC91" i="8"/>
  <c r="AB91" i="8"/>
  <c r="AA91" i="8"/>
  <c r="W91" i="8"/>
  <c r="AG91" i="8" s="1"/>
  <c r="AK90" i="8"/>
  <c r="AJ90" i="8"/>
  <c r="AI90" i="8"/>
  <c r="AH90" i="8"/>
  <c r="AE90" i="8"/>
  <c r="AD90" i="8"/>
  <c r="AC90" i="8"/>
  <c r="AB90" i="8"/>
  <c r="AA90" i="8"/>
  <c r="Z90" i="8"/>
  <c r="Y90" i="8"/>
  <c r="W90" i="8"/>
  <c r="AK89" i="8"/>
  <c r="AH89" i="8"/>
  <c r="AG89" i="8"/>
  <c r="AC89" i="8"/>
  <c r="AB89" i="8"/>
  <c r="Z89" i="8"/>
  <c r="Y89" i="8"/>
  <c r="W89" i="8"/>
  <c r="AE89" i="8" s="1"/>
  <c r="AG88" i="8"/>
  <c r="AE88" i="8"/>
  <c r="AD88" i="8"/>
  <c r="AC88" i="8"/>
  <c r="W88" i="8"/>
  <c r="AI88" i="8" s="1"/>
  <c r="AH87" i="8"/>
  <c r="AG87" i="8"/>
  <c r="W87" i="8"/>
  <c r="AK86" i="8"/>
  <c r="AJ86" i="8"/>
  <c r="AI86" i="8"/>
  <c r="AH86" i="8"/>
  <c r="AE86" i="8"/>
  <c r="AD86" i="8"/>
  <c r="AC86" i="8"/>
  <c r="AB86" i="8"/>
  <c r="AA86" i="8"/>
  <c r="Z86" i="8"/>
  <c r="Y86" i="8"/>
  <c r="W86" i="8"/>
  <c r="AH85" i="8"/>
  <c r="AG85" i="8"/>
  <c r="AE85" i="8"/>
  <c r="W85" i="8"/>
  <c r="AJ84" i="8"/>
  <c r="AI84" i="8"/>
  <c r="W84" i="8"/>
  <c r="AH83" i="8"/>
  <c r="AD83" i="8"/>
  <c r="AC83" i="8"/>
  <c r="AB83" i="8"/>
  <c r="AA83" i="8"/>
  <c r="W83" i="8"/>
  <c r="AG83" i="8" s="1"/>
  <c r="AK82" i="8"/>
  <c r="AJ82" i="8"/>
  <c r="AI82" i="8"/>
  <c r="AH82" i="8"/>
  <c r="AE82" i="8"/>
  <c r="AD82" i="8"/>
  <c r="AC82" i="8"/>
  <c r="AB82" i="8"/>
  <c r="AA82" i="8"/>
  <c r="Z82" i="8"/>
  <c r="Y82" i="8"/>
  <c r="W82" i="8"/>
  <c r="AK81" i="8"/>
  <c r="AH81" i="8"/>
  <c r="AG81" i="8"/>
  <c r="AC81" i="8"/>
  <c r="AB81" i="8"/>
  <c r="Z81" i="8"/>
  <c r="Y81" i="8"/>
  <c r="W81" i="8"/>
  <c r="AE81" i="8" s="1"/>
  <c r="AG80" i="8"/>
  <c r="AE80" i="8"/>
  <c r="AD80" i="8"/>
  <c r="AC80" i="8"/>
  <c r="W80" i="8"/>
  <c r="AI80" i="8" s="1"/>
  <c r="AH79" i="8"/>
  <c r="AG79" i="8"/>
  <c r="W79" i="8"/>
  <c r="AK78" i="8"/>
  <c r="AJ78" i="8"/>
  <c r="AI78" i="8"/>
  <c r="AH78" i="8"/>
  <c r="AE78" i="8"/>
  <c r="AD78" i="8"/>
  <c r="AC78" i="8"/>
  <c r="AB78" i="8"/>
  <c r="AA78" i="8"/>
  <c r="Z78" i="8"/>
  <c r="Y78" i="8"/>
  <c r="W78" i="8"/>
  <c r="AH77" i="8"/>
  <c r="AG77" i="8"/>
  <c r="AE77" i="8"/>
  <c r="W77" i="8"/>
  <c r="W76" i="8"/>
  <c r="AE75" i="8"/>
  <c r="AD75" i="8"/>
  <c r="AC75" i="8"/>
  <c r="AB75" i="8"/>
  <c r="W75" i="8"/>
  <c r="AG75" i="8" s="1"/>
  <c r="AK74" i="8"/>
  <c r="AJ74" i="8"/>
  <c r="AI74" i="8"/>
  <c r="AH74" i="8"/>
  <c r="AE74" i="8"/>
  <c r="AD74" i="8"/>
  <c r="AC74" i="8"/>
  <c r="AB74" i="8"/>
  <c r="AA74" i="8"/>
  <c r="Z74" i="8"/>
  <c r="Y74" i="8"/>
  <c r="W74" i="8"/>
  <c r="AG73" i="8"/>
  <c r="AE73" i="8"/>
  <c r="AC73" i="8"/>
  <c r="W73" i="8"/>
  <c r="AJ72" i="8"/>
  <c r="AI72" i="8"/>
  <c r="AG72" i="8"/>
  <c r="AE72" i="8"/>
  <c r="AC72" i="8"/>
  <c r="AA72" i="8"/>
  <c r="Z72" i="8"/>
  <c r="Y72" i="8"/>
  <c r="W72" i="8"/>
  <c r="AD72" i="8" s="1"/>
  <c r="AG71" i="8"/>
  <c r="AE71" i="8"/>
  <c r="AD71" i="8"/>
  <c r="W71" i="8"/>
  <c r="AK70" i="8"/>
  <c r="AJ70" i="8"/>
  <c r="AE70" i="8"/>
  <c r="AC70" i="8"/>
  <c r="AB70" i="8"/>
  <c r="AA70" i="8"/>
  <c r="Z70" i="8"/>
  <c r="W70" i="8"/>
  <c r="AD70" i="8" s="1"/>
  <c r="AH69" i="8"/>
  <c r="AG69" i="8"/>
  <c r="W69" i="8"/>
  <c r="AE68" i="8"/>
  <c r="AD68" i="8"/>
  <c r="W68" i="8"/>
  <c r="AK67" i="8"/>
  <c r="AJ67" i="8"/>
  <c r="AI67" i="8"/>
  <c r="AH67" i="8"/>
  <c r="AE67" i="8"/>
  <c r="AD67" i="8"/>
  <c r="AC67" i="8"/>
  <c r="AB67" i="8"/>
  <c r="AA67" i="8"/>
  <c r="Z67" i="8"/>
  <c r="Y67" i="8"/>
  <c r="W67" i="8"/>
  <c r="AK66" i="8"/>
  <c r="AJ66" i="8"/>
  <c r="AI66" i="8"/>
  <c r="AE66" i="8"/>
  <c r="AC66" i="8"/>
  <c r="AB66" i="8"/>
  <c r="AA66" i="8"/>
  <c r="Z66" i="8"/>
  <c r="W66" i="8"/>
  <c r="AD66" i="8" s="1"/>
  <c r="W65" i="8"/>
  <c r="AE64" i="8"/>
  <c r="AD64" i="8"/>
  <c r="W64" i="8"/>
  <c r="AK63" i="8"/>
  <c r="AJ63" i="8"/>
  <c r="AI63" i="8"/>
  <c r="AH63" i="8"/>
  <c r="AE63" i="8"/>
  <c r="AD63" i="8"/>
  <c r="AC63" i="8"/>
  <c r="AB63" i="8"/>
  <c r="AA63" i="8"/>
  <c r="Z63" i="8"/>
  <c r="Y63" i="8"/>
  <c r="W63" i="8"/>
  <c r="AK62" i="8"/>
  <c r="AJ62" i="8"/>
  <c r="AI62" i="8"/>
  <c r="AE62" i="8"/>
  <c r="AC62" i="8"/>
  <c r="AB62" i="8"/>
  <c r="AA62" i="8"/>
  <c r="Z62" i="8"/>
  <c r="W62" i="8"/>
  <c r="AD62" i="8" s="1"/>
  <c r="AJ61" i="8"/>
  <c r="AI61" i="8"/>
  <c r="AH61" i="8"/>
  <c r="AG61" i="8"/>
  <c r="AD61" i="8"/>
  <c r="AB61" i="8"/>
  <c r="AA61" i="8"/>
  <c r="Z61" i="8"/>
  <c r="Y61" i="8"/>
  <c r="W61" i="8"/>
  <c r="AF61" i="8" s="1"/>
  <c r="AJ60" i="8"/>
  <c r="AI60" i="8"/>
  <c r="AH60" i="8"/>
  <c r="AG60" i="8"/>
  <c r="AD60" i="8"/>
  <c r="AB60" i="8"/>
  <c r="AA60" i="8"/>
  <c r="Z60" i="8"/>
  <c r="Y60" i="8"/>
  <c r="W60" i="8"/>
  <c r="AF60" i="8" s="1"/>
  <c r="AJ59" i="8"/>
  <c r="AI59" i="8"/>
  <c r="AH59" i="8"/>
  <c r="AG59" i="8"/>
  <c r="AD59" i="8"/>
  <c r="AB59" i="8"/>
  <c r="AA59" i="8"/>
  <c r="Z59" i="8"/>
  <c r="Y59" i="8"/>
  <c r="W59" i="8"/>
  <c r="AF59" i="8" s="1"/>
  <c r="AJ58" i="8"/>
  <c r="AI58" i="8"/>
  <c r="AH58" i="8"/>
  <c r="AG58" i="8"/>
  <c r="AD58" i="8"/>
  <c r="AB58" i="8"/>
  <c r="AA58" i="8"/>
  <c r="Z58" i="8"/>
  <c r="Y58" i="8"/>
  <c r="W58" i="8"/>
  <c r="AF58" i="8" s="1"/>
  <c r="AJ57" i="8"/>
  <c r="AI57" i="8"/>
  <c r="AH57" i="8"/>
  <c r="AG57" i="8"/>
  <c r="AD57" i="8"/>
  <c r="AB57" i="8"/>
  <c r="AA57" i="8"/>
  <c r="Z57" i="8"/>
  <c r="Y57" i="8"/>
  <c r="W57" i="8"/>
  <c r="AF57" i="8" s="1"/>
  <c r="AJ56" i="8"/>
  <c r="AI56" i="8"/>
  <c r="AH56" i="8"/>
  <c r="AG56" i="8"/>
  <c r="AD56" i="8"/>
  <c r="AB56" i="8"/>
  <c r="AA56" i="8"/>
  <c r="Z56" i="8"/>
  <c r="Y56" i="8"/>
  <c r="W56" i="8"/>
  <c r="AF56" i="8" s="1"/>
  <c r="AJ55" i="8"/>
  <c r="AI55" i="8"/>
  <c r="AH55" i="8"/>
  <c r="AG55" i="8"/>
  <c r="AD55" i="8"/>
  <c r="AB55" i="8"/>
  <c r="AA55" i="8"/>
  <c r="Z55" i="8"/>
  <c r="Y55" i="8"/>
  <c r="W55" i="8"/>
  <c r="AF55" i="8" s="1"/>
  <c r="AJ54" i="8"/>
  <c r="AI54" i="8"/>
  <c r="AH54" i="8"/>
  <c r="AG54" i="8"/>
  <c r="AD54" i="8"/>
  <c r="AB54" i="8"/>
  <c r="AA54" i="8"/>
  <c r="Z54" i="8"/>
  <c r="Y54" i="8"/>
  <c r="W54" i="8"/>
  <c r="AF54" i="8" s="1"/>
  <c r="AJ53" i="8"/>
  <c r="AI53" i="8"/>
  <c r="AH53" i="8"/>
  <c r="AG53" i="8"/>
  <c r="AD53" i="8"/>
  <c r="AB53" i="8"/>
  <c r="AA53" i="8"/>
  <c r="Z53" i="8"/>
  <c r="Y53" i="8"/>
  <c r="W53" i="8"/>
  <c r="AF53" i="8" s="1"/>
  <c r="AJ52" i="8"/>
  <c r="AI52" i="8"/>
  <c r="AH52" i="8"/>
  <c r="AG52" i="8"/>
  <c r="AD52" i="8"/>
  <c r="AB52" i="8"/>
  <c r="AA52" i="8"/>
  <c r="Z52" i="8"/>
  <c r="Y52" i="8"/>
  <c r="W52" i="8"/>
  <c r="AF52" i="8" s="1"/>
  <c r="AJ51" i="8"/>
  <c r="AI51" i="8"/>
  <c r="AH51" i="8"/>
  <c r="AG51" i="8"/>
  <c r="AD51" i="8"/>
  <c r="AB51" i="8"/>
  <c r="AA51" i="8"/>
  <c r="Z51" i="8"/>
  <c r="Y51" i="8"/>
  <c r="W51" i="8"/>
  <c r="AF51" i="8" s="1"/>
  <c r="AJ50" i="8"/>
  <c r="AI50" i="8"/>
  <c r="AH50" i="8"/>
  <c r="AG50" i="8"/>
  <c r="AD50" i="8"/>
  <c r="AB50" i="8"/>
  <c r="AA50" i="8"/>
  <c r="Z50" i="8"/>
  <c r="Y50" i="8"/>
  <c r="W50" i="8"/>
  <c r="AF50" i="8" s="1"/>
  <c r="AJ49" i="8"/>
  <c r="AI49" i="8"/>
  <c r="AH49" i="8"/>
  <c r="AG49" i="8"/>
  <c r="AD49" i="8"/>
  <c r="AB49" i="8"/>
  <c r="AA49" i="8"/>
  <c r="Z49" i="8"/>
  <c r="Y49" i="8"/>
  <c r="W49" i="8"/>
  <c r="AF49" i="8" s="1"/>
  <c r="AJ48" i="8"/>
  <c r="AI48" i="8"/>
  <c r="AH48" i="8"/>
  <c r="AG48" i="8"/>
  <c r="AD48" i="8"/>
  <c r="AB48" i="8"/>
  <c r="AA48" i="8"/>
  <c r="Z48" i="8"/>
  <c r="Y48" i="8"/>
  <c r="W48" i="8"/>
  <c r="AF48" i="8" s="1"/>
  <c r="AJ47" i="8"/>
  <c r="AI47" i="8"/>
  <c r="AH47" i="8"/>
  <c r="AG47" i="8"/>
  <c r="AD47" i="8"/>
  <c r="AB47" i="8"/>
  <c r="AA47" i="8"/>
  <c r="Z47" i="8"/>
  <c r="Y47" i="8"/>
  <c r="W47" i="8"/>
  <c r="AF47" i="8" s="1"/>
  <c r="AJ46" i="8"/>
  <c r="AI46" i="8"/>
  <c r="AH46" i="8"/>
  <c r="AG46" i="8"/>
  <c r="AD46" i="8"/>
  <c r="AB46" i="8"/>
  <c r="AA46" i="8"/>
  <c r="Z46" i="8"/>
  <c r="Y46" i="8"/>
  <c r="W46" i="8"/>
  <c r="AF46" i="8" s="1"/>
  <c r="AJ45" i="8"/>
  <c r="AI45" i="8"/>
  <c r="AH45" i="8"/>
  <c r="AG45" i="8"/>
  <c r="AD45" i="8"/>
  <c r="AB45" i="8"/>
  <c r="AA45" i="8"/>
  <c r="Z45" i="8"/>
  <c r="Y45" i="8"/>
  <c r="W45" i="8"/>
  <c r="AF45" i="8" s="1"/>
  <c r="AJ44" i="8"/>
  <c r="AI44" i="8"/>
  <c r="AH44" i="8"/>
  <c r="AG44" i="8"/>
  <c r="AD44" i="8"/>
  <c r="AB44" i="8"/>
  <c r="AA44" i="8"/>
  <c r="Z44" i="8"/>
  <c r="Y44" i="8"/>
  <c r="W44" i="8"/>
  <c r="AF44" i="8" s="1"/>
  <c r="AJ43" i="8"/>
  <c r="AI43" i="8"/>
  <c r="AH43" i="8"/>
  <c r="AG43" i="8"/>
  <c r="AD43" i="8"/>
  <c r="AB43" i="8"/>
  <c r="AA43" i="8"/>
  <c r="Z43" i="8"/>
  <c r="Y43" i="8"/>
  <c r="W43" i="8"/>
  <c r="AF43" i="8" s="1"/>
  <c r="AJ42" i="8"/>
  <c r="AI42" i="8"/>
  <c r="AH42" i="8"/>
  <c r="AG42" i="8"/>
  <c r="AD42" i="8"/>
  <c r="AB42" i="8"/>
  <c r="AA42" i="8"/>
  <c r="Z42" i="8"/>
  <c r="Y42" i="8"/>
  <c r="W42" i="8"/>
  <c r="AF42" i="8" s="1"/>
  <c r="AJ41" i="8"/>
  <c r="AI41" i="8"/>
  <c r="AH41" i="8"/>
  <c r="AG41" i="8"/>
  <c r="AD41" i="8"/>
  <c r="AB41" i="8"/>
  <c r="AA41" i="8"/>
  <c r="Z41" i="8"/>
  <c r="Y41" i="8"/>
  <c r="W41" i="8"/>
  <c r="AF41" i="8" s="1"/>
  <c r="AJ40" i="8"/>
  <c r="AI40" i="8"/>
  <c r="AH40" i="8"/>
  <c r="AG40" i="8"/>
  <c r="AD40" i="8"/>
  <c r="AB40" i="8"/>
  <c r="AA40" i="8"/>
  <c r="Z40" i="8"/>
  <c r="Y40" i="8"/>
  <c r="W40" i="8"/>
  <c r="AF40" i="8" s="1"/>
  <c r="AJ39" i="8"/>
  <c r="AI39" i="8"/>
  <c r="AH39" i="8"/>
  <c r="AG39" i="8"/>
  <c r="AD39" i="8"/>
  <c r="AB39" i="8"/>
  <c r="AA39" i="8"/>
  <c r="Z39" i="8"/>
  <c r="Y39" i="8"/>
  <c r="W39" i="8"/>
  <c r="AF39" i="8" s="1"/>
  <c r="AJ38" i="8"/>
  <c r="AI38" i="8"/>
  <c r="AH38" i="8"/>
  <c r="AG38" i="8"/>
  <c r="AD38" i="8"/>
  <c r="AB38" i="8"/>
  <c r="AA38" i="8"/>
  <c r="Z38" i="8"/>
  <c r="Y38" i="8"/>
  <c r="W38" i="8"/>
  <c r="AF38" i="8" s="1"/>
  <c r="AJ37" i="8"/>
  <c r="AI37" i="8"/>
  <c r="AH37" i="8"/>
  <c r="AG37" i="8"/>
  <c r="AD37" i="8"/>
  <c r="AB37" i="8"/>
  <c r="AA37" i="8"/>
  <c r="Z37" i="8"/>
  <c r="Y37" i="8"/>
  <c r="W37" i="8"/>
  <c r="AF37" i="8" s="1"/>
  <c r="AJ36" i="8"/>
  <c r="AI36" i="8"/>
  <c r="AH36" i="8"/>
  <c r="AG36" i="8"/>
  <c r="AD36" i="8"/>
  <c r="AB36" i="8"/>
  <c r="AA36" i="8"/>
  <c r="Z36" i="8"/>
  <c r="Y36" i="8"/>
  <c r="W36" i="8"/>
  <c r="AF36" i="8" s="1"/>
  <c r="AJ35" i="8"/>
  <c r="AI35" i="8"/>
  <c r="AH35" i="8"/>
  <c r="AG35" i="8"/>
  <c r="AD35" i="8"/>
  <c r="AB35" i="8"/>
  <c r="AA35" i="8"/>
  <c r="Z35" i="8"/>
  <c r="Y35" i="8"/>
  <c r="W35" i="8"/>
  <c r="AF35" i="8" s="1"/>
  <c r="AJ34" i="8"/>
  <c r="AI34" i="8"/>
  <c r="AH34" i="8"/>
  <c r="AG34" i="8"/>
  <c r="AD34" i="8"/>
  <c r="AB34" i="8"/>
  <c r="AA34" i="8"/>
  <c r="Z34" i="8"/>
  <c r="Y34" i="8"/>
  <c r="W34" i="8"/>
  <c r="AF34" i="8" s="1"/>
  <c r="AJ33" i="8"/>
  <c r="AI33" i="8"/>
  <c r="AH33" i="8"/>
  <c r="AG33" i="8"/>
  <c r="AD33" i="8"/>
  <c r="AB33" i="8"/>
  <c r="AA33" i="8"/>
  <c r="Z33" i="8"/>
  <c r="Y33" i="8"/>
  <c r="W33" i="8"/>
  <c r="AF33" i="8" s="1"/>
  <c r="AJ32" i="8"/>
  <c r="AI32" i="8"/>
  <c r="AH32" i="8"/>
  <c r="AG32" i="8"/>
  <c r="AD32" i="8"/>
  <c r="AB32" i="8"/>
  <c r="AA32" i="8"/>
  <c r="Z32" i="8"/>
  <c r="Y32" i="8"/>
  <c r="W32" i="8"/>
  <c r="AF32" i="8" s="1"/>
  <c r="AJ31" i="8"/>
  <c r="AI31" i="8"/>
  <c r="AH31" i="8"/>
  <c r="AG31" i="8"/>
  <c r="AD31" i="8"/>
  <c r="AB31" i="8"/>
  <c r="AA31" i="8"/>
  <c r="Z31" i="8"/>
  <c r="Y31" i="8"/>
  <c r="W31" i="8"/>
  <c r="AF31" i="8" s="1"/>
  <c r="AJ30" i="8"/>
  <c r="AI30" i="8"/>
  <c r="AH30" i="8"/>
  <c r="AG30" i="8"/>
  <c r="AD30" i="8"/>
  <c r="AB30" i="8"/>
  <c r="AA30" i="8"/>
  <c r="Z30" i="8"/>
  <c r="Y30" i="8"/>
  <c r="W30" i="8"/>
  <c r="AF30" i="8" s="1"/>
  <c r="AJ29" i="8"/>
  <c r="AI29" i="8"/>
  <c r="AH29" i="8"/>
  <c r="AG29" i="8"/>
  <c r="AD29" i="8"/>
  <c r="AB29" i="8"/>
  <c r="AA29" i="8"/>
  <c r="Z29" i="8"/>
  <c r="Y29" i="8"/>
  <c r="W29" i="8"/>
  <c r="AF29" i="8" s="1"/>
  <c r="AJ28" i="8"/>
  <c r="AI28" i="8"/>
  <c r="AH28" i="8"/>
  <c r="AG28" i="8"/>
  <c r="AD28" i="8"/>
  <c r="AB28" i="8"/>
  <c r="AA28" i="8"/>
  <c r="Z28" i="8"/>
  <c r="Y28" i="8"/>
  <c r="W28" i="8"/>
  <c r="AF28" i="8" s="1"/>
  <c r="AJ27" i="8"/>
  <c r="AI27" i="8"/>
  <c r="AH27" i="8"/>
  <c r="AG27" i="8"/>
  <c r="AD27" i="8"/>
  <c r="AB27" i="8"/>
  <c r="AA27" i="8"/>
  <c r="Z27" i="8"/>
  <c r="Y27" i="8"/>
  <c r="W27" i="8"/>
  <c r="AF27" i="8" s="1"/>
  <c r="AJ26" i="8"/>
  <c r="AI26" i="8"/>
  <c r="AH26" i="8"/>
  <c r="AG26" i="8"/>
  <c r="AD26" i="8"/>
  <c r="AB26" i="8"/>
  <c r="AA26" i="8"/>
  <c r="Z26" i="8"/>
  <c r="Y26" i="8"/>
  <c r="W26" i="8"/>
  <c r="AF26" i="8" s="1"/>
  <c r="U26" i="8"/>
  <c r="W25" i="8"/>
  <c r="AK25" i="8" s="1"/>
  <c r="AB24" i="8"/>
  <c r="AA24" i="8"/>
  <c r="W24" i="8"/>
  <c r="AI24" i="8" s="1"/>
  <c r="AH23" i="8"/>
  <c r="AE23" i="8"/>
  <c r="AC23" i="8"/>
  <c r="AA23" i="8"/>
  <c r="Z23" i="8"/>
  <c r="W23" i="8"/>
  <c r="AK22" i="8"/>
  <c r="AJ22" i="8"/>
  <c r="AI22" i="8"/>
  <c r="AF22" i="8"/>
  <c r="AE22" i="8"/>
  <c r="AC22" i="8"/>
  <c r="AB22" i="8"/>
  <c r="AA22" i="8"/>
  <c r="Z22" i="8"/>
  <c r="X22" i="8"/>
  <c r="W22" i="8"/>
  <c r="AK21" i="8"/>
  <c r="AJ21" i="8"/>
  <c r="AF21" i="8"/>
  <c r="AE21" i="8"/>
  <c r="AC21" i="8"/>
  <c r="AA21" i="8"/>
  <c r="Z21" i="8"/>
  <c r="W21" i="8"/>
  <c r="AK20" i="8"/>
  <c r="AJ20" i="8"/>
  <c r="AI20" i="8"/>
  <c r="AF20" i="8"/>
  <c r="AE20" i="8"/>
  <c r="AC20" i="8"/>
  <c r="AB20" i="8"/>
  <c r="AA20" i="8"/>
  <c r="Z20" i="8"/>
  <c r="X20" i="8"/>
  <c r="W20" i="8"/>
  <c r="AK19" i="8"/>
  <c r="AJ19" i="8"/>
  <c r="AF19" i="8"/>
  <c r="AE19" i="8"/>
  <c r="AC19" i="8"/>
  <c r="AA19" i="8"/>
  <c r="Z19" i="8"/>
  <c r="W19" i="8"/>
  <c r="AK18" i="8"/>
  <c r="AJ18" i="8"/>
  <c r="AI18" i="8"/>
  <c r="AF18" i="8"/>
  <c r="AE18" i="8"/>
  <c r="AC18" i="8"/>
  <c r="AB18" i="8"/>
  <c r="AA18" i="8"/>
  <c r="Z18" i="8"/>
  <c r="X18" i="8"/>
  <c r="W18" i="8"/>
  <c r="AK17" i="8"/>
  <c r="AJ17" i="8"/>
  <c r="AF17" i="8"/>
  <c r="AE17" i="8"/>
  <c r="AC17" i="8"/>
  <c r="AA17" i="8"/>
  <c r="Z17" i="8"/>
  <c r="W17" i="8"/>
  <c r="AK16" i="8"/>
  <c r="AJ16" i="8"/>
  <c r="AI16" i="8"/>
  <c r="AF16" i="8"/>
  <c r="AE16" i="8"/>
  <c r="AC16" i="8"/>
  <c r="AB16" i="8"/>
  <c r="AA16" i="8"/>
  <c r="Z16" i="8"/>
  <c r="X16" i="8"/>
  <c r="W16" i="8"/>
  <c r="AK15" i="8"/>
  <c r="AJ15" i="8"/>
  <c r="AF15" i="8"/>
  <c r="AE15" i="8"/>
  <c r="AC15" i="8"/>
  <c r="AA15" i="8"/>
  <c r="Z15" i="8"/>
  <c r="W15" i="8"/>
  <c r="AK14" i="8"/>
  <c r="AJ14" i="8"/>
  <c r="AI14" i="8"/>
  <c r="AF14" i="8"/>
  <c r="AE14" i="8"/>
  <c r="AC14" i="8"/>
  <c r="AB14" i="8"/>
  <c r="AA14" i="8"/>
  <c r="Z14" i="8"/>
  <c r="X14" i="8"/>
  <c r="W14" i="8"/>
  <c r="AK13" i="8"/>
  <c r="AJ13" i="8"/>
  <c r="AF13" i="8"/>
  <c r="AE13" i="8"/>
  <c r="AC13" i="8"/>
  <c r="AA13" i="8"/>
  <c r="Z13" i="8"/>
  <c r="W13" i="8"/>
  <c r="AK12" i="8"/>
  <c r="AJ12" i="8"/>
  <c r="AI12" i="8"/>
  <c r="AF12" i="8"/>
  <c r="AE12" i="8"/>
  <c r="AC12" i="8"/>
  <c r="AB12" i="8"/>
  <c r="AA12" i="8"/>
  <c r="Z12" i="8"/>
  <c r="X12" i="8"/>
  <c r="W12" i="8"/>
  <c r="AK11" i="8"/>
  <c r="AJ11" i="8"/>
  <c r="AF11" i="8"/>
  <c r="AE11" i="8"/>
  <c r="AC11" i="8"/>
  <c r="AA11" i="8"/>
  <c r="Z11" i="8"/>
  <c r="W11" i="8"/>
  <c r="AK10" i="8"/>
  <c r="AJ10" i="8"/>
  <c r="AI10" i="8"/>
  <c r="AF10" i="8"/>
  <c r="AE10" i="8"/>
  <c r="AC10" i="8"/>
  <c r="AB10" i="8"/>
  <c r="AA10" i="8"/>
  <c r="Z10" i="8"/>
  <c r="X10" i="8"/>
  <c r="W10" i="8"/>
  <c r="AK9" i="8"/>
  <c r="AJ9" i="8"/>
  <c r="AF9" i="8"/>
  <c r="AE9" i="8"/>
  <c r="AC9" i="8"/>
  <c r="AA9" i="8"/>
  <c r="Z9" i="8"/>
  <c r="W9" i="8"/>
  <c r="AK8" i="8"/>
  <c r="AJ8" i="8"/>
  <c r="AI8" i="8"/>
  <c r="AF8" i="8"/>
  <c r="AE8" i="8"/>
  <c r="AC8" i="8"/>
  <c r="AB8" i="8"/>
  <c r="AA8" i="8"/>
  <c r="Z8" i="8"/>
  <c r="X8" i="8"/>
  <c r="W8" i="8"/>
  <c r="AK7" i="8"/>
  <c r="AJ7" i="8"/>
  <c r="AF7" i="8"/>
  <c r="AE7" i="8"/>
  <c r="AC7" i="8"/>
  <c r="AA7" i="8"/>
  <c r="Z7" i="8"/>
  <c r="W7" i="8"/>
  <c r="AK6" i="8"/>
  <c r="AJ6" i="8"/>
  <c r="AI6" i="8"/>
  <c r="AF6" i="8"/>
  <c r="AE6" i="8"/>
  <c r="AC6" i="8"/>
  <c r="AB6" i="8"/>
  <c r="AA6" i="8"/>
  <c r="Z6" i="8"/>
  <c r="X6" i="8"/>
  <c r="W6" i="8"/>
  <c r="AK5" i="8"/>
  <c r="AJ5" i="8"/>
  <c r="AF5" i="8"/>
  <c r="AE5" i="8"/>
  <c r="AC5" i="8"/>
  <c r="AA5" i="8"/>
  <c r="Z5" i="8"/>
  <c r="W5" i="8"/>
  <c r="BG59" i="6"/>
  <c r="BI59" i="6"/>
  <c r="BK59" i="6"/>
  <c r="BM59" i="6"/>
  <c r="BO59" i="6"/>
  <c r="BG60" i="6"/>
  <c r="BI60" i="6"/>
  <c r="BK60" i="6"/>
  <c r="BM60" i="6"/>
  <c r="BO60" i="6"/>
  <c r="BG61" i="6"/>
  <c r="BI61" i="6"/>
  <c r="BK61" i="6"/>
  <c r="BM61" i="6"/>
  <c r="BO61" i="6"/>
  <c r="BG62" i="6"/>
  <c r="BI62" i="6"/>
  <c r="BK62" i="6"/>
  <c r="BM62" i="6"/>
  <c r="BO62" i="6"/>
  <c r="BG63" i="6"/>
  <c r="BI63" i="6"/>
  <c r="BK63" i="6"/>
  <c r="BQ63" i="6" s="1"/>
  <c r="BM63" i="6"/>
  <c r="BO63" i="6"/>
  <c r="BG64" i="6"/>
  <c r="BI64" i="6"/>
  <c r="BK64" i="6"/>
  <c r="BM64" i="6"/>
  <c r="BO64" i="6"/>
  <c r="BG65" i="6"/>
  <c r="BQ65" i="6" s="1"/>
  <c r="BI65" i="6"/>
  <c r="BK65" i="6"/>
  <c r="BM65" i="6"/>
  <c r="BO65" i="6"/>
  <c r="BG66" i="6"/>
  <c r="BI66" i="6"/>
  <c r="BK66" i="6"/>
  <c r="BM66" i="6"/>
  <c r="BQ66" i="6" s="1"/>
  <c r="BO66" i="6"/>
  <c r="BG67" i="6"/>
  <c r="BI67" i="6"/>
  <c r="BK67" i="6"/>
  <c r="BM67" i="6"/>
  <c r="BO67" i="6"/>
  <c r="BG68" i="6"/>
  <c r="BI68" i="6"/>
  <c r="BQ68" i="6" s="1"/>
  <c r="BK68" i="6"/>
  <c r="BU68" i="6" s="1"/>
  <c r="BM68" i="6"/>
  <c r="BO68" i="6"/>
  <c r="BG69" i="6"/>
  <c r="BI69" i="6"/>
  <c r="BK69" i="6"/>
  <c r="BM69" i="6"/>
  <c r="BO69" i="6"/>
  <c r="BQ69" i="6" s="1"/>
  <c r="BG70" i="6"/>
  <c r="BI70" i="6"/>
  <c r="BK70" i="6"/>
  <c r="BM70" i="6"/>
  <c r="BO70" i="6"/>
  <c r="BG71" i="6"/>
  <c r="BI71" i="6"/>
  <c r="BK71" i="6"/>
  <c r="BM71" i="6"/>
  <c r="BQ71" i="6" s="1"/>
  <c r="BU71" i="6" s="1"/>
  <c r="BO71" i="6"/>
  <c r="BG72" i="6"/>
  <c r="BI72" i="6"/>
  <c r="BK72" i="6"/>
  <c r="BM72" i="6"/>
  <c r="BO72" i="6"/>
  <c r="BG73" i="6"/>
  <c r="BI73" i="6"/>
  <c r="BK73" i="6"/>
  <c r="BM73" i="6"/>
  <c r="BO73" i="6"/>
  <c r="BG74" i="6"/>
  <c r="BI74" i="6"/>
  <c r="BK74" i="6"/>
  <c r="BM74" i="6"/>
  <c r="BQ74" i="6" s="1"/>
  <c r="BO74" i="6"/>
  <c r="BG75" i="6"/>
  <c r="BI75" i="6"/>
  <c r="BK75" i="6"/>
  <c r="BM75" i="6"/>
  <c r="BO75" i="6"/>
  <c r="BG76" i="6"/>
  <c r="BI76" i="6"/>
  <c r="BQ76" i="6" s="1"/>
  <c r="BK76" i="6"/>
  <c r="BM76" i="6"/>
  <c r="BO76" i="6"/>
  <c r="BG77" i="6"/>
  <c r="BI77" i="6"/>
  <c r="BK77" i="6"/>
  <c r="BM77" i="6"/>
  <c r="BO77" i="6"/>
  <c r="BG78" i="6"/>
  <c r="BQ78" i="6" s="1"/>
  <c r="BI78" i="6"/>
  <c r="BK78" i="6"/>
  <c r="BM78" i="6"/>
  <c r="BO78" i="6"/>
  <c r="BG79" i="6"/>
  <c r="BI79" i="6"/>
  <c r="BK79" i="6"/>
  <c r="BQ79" i="6" s="1"/>
  <c r="BU79" i="6" s="1"/>
  <c r="BM79" i="6"/>
  <c r="BO79" i="6"/>
  <c r="BG80" i="6"/>
  <c r="BI80" i="6"/>
  <c r="BK80" i="6"/>
  <c r="BM80" i="6"/>
  <c r="BO80" i="6"/>
  <c r="BG81" i="6"/>
  <c r="BQ81" i="6" s="1"/>
  <c r="BI81" i="6"/>
  <c r="BK81" i="6"/>
  <c r="BM81" i="6"/>
  <c r="BO81" i="6"/>
  <c r="BG82" i="6"/>
  <c r="BI82" i="6"/>
  <c r="BK82" i="6"/>
  <c r="BM82" i="6"/>
  <c r="BQ82" i="6" s="1"/>
  <c r="BO82" i="6"/>
  <c r="BG83" i="6"/>
  <c r="BI83" i="6"/>
  <c r="BK83" i="6"/>
  <c r="BM83" i="6"/>
  <c r="BO83" i="6"/>
  <c r="BG84" i="6"/>
  <c r="BQ84" i="6" s="1"/>
  <c r="BI84" i="6"/>
  <c r="BK84" i="6"/>
  <c r="BM84" i="6"/>
  <c r="BO84" i="6"/>
  <c r="BG85" i="6"/>
  <c r="BI85" i="6"/>
  <c r="BK85" i="6"/>
  <c r="BM85" i="6"/>
  <c r="BO85" i="6"/>
  <c r="BQ85" i="6" s="1"/>
  <c r="BU85" i="6" s="1"/>
  <c r="BG86" i="6"/>
  <c r="BQ86" i="6" s="1"/>
  <c r="BU86" i="6" s="1"/>
  <c r="BI86" i="6"/>
  <c r="BK86" i="6"/>
  <c r="BM86" i="6"/>
  <c r="BO86" i="6"/>
  <c r="BG87" i="6"/>
  <c r="BI87" i="6"/>
  <c r="BK87" i="6"/>
  <c r="BM87" i="6"/>
  <c r="BQ87" i="6" s="1"/>
  <c r="BU87" i="6" s="1"/>
  <c r="BO87" i="6"/>
  <c r="BG88" i="6"/>
  <c r="BI88" i="6"/>
  <c r="BK88" i="6"/>
  <c r="BM88" i="6"/>
  <c r="BO88" i="6"/>
  <c r="BG89" i="6"/>
  <c r="BI89" i="6"/>
  <c r="BQ89" i="6" s="1"/>
  <c r="BU89" i="6" s="1"/>
  <c r="BK89" i="6"/>
  <c r="BM89" i="6"/>
  <c r="BO89" i="6"/>
  <c r="BG90" i="6"/>
  <c r="BI90" i="6"/>
  <c r="BK90" i="6"/>
  <c r="BM90" i="6"/>
  <c r="BO90" i="6"/>
  <c r="BG91" i="6"/>
  <c r="BI91" i="6"/>
  <c r="BK91" i="6"/>
  <c r="BM91" i="6"/>
  <c r="BO91" i="6"/>
  <c r="BG92" i="6"/>
  <c r="BI92" i="6"/>
  <c r="BK92" i="6"/>
  <c r="BM92" i="6"/>
  <c r="BO92" i="6"/>
  <c r="BG93" i="6"/>
  <c r="BI93" i="6"/>
  <c r="BK93" i="6"/>
  <c r="BM93" i="6"/>
  <c r="BO93" i="6"/>
  <c r="BG94" i="6"/>
  <c r="BI94" i="6"/>
  <c r="BK94" i="6"/>
  <c r="BM94" i="6"/>
  <c r="BO94" i="6"/>
  <c r="BG95" i="6"/>
  <c r="BI95" i="6"/>
  <c r="BK95" i="6"/>
  <c r="BQ95" i="6" s="1"/>
  <c r="BU95" i="6" s="1"/>
  <c r="BM95" i="6"/>
  <c r="BO95" i="6"/>
  <c r="BG96" i="6"/>
  <c r="BI96" i="6"/>
  <c r="BQ96" i="6" s="1"/>
  <c r="BU96" i="6" s="1"/>
  <c r="BK96" i="6"/>
  <c r="BM96" i="6"/>
  <c r="BO96" i="6"/>
  <c r="BG97" i="6"/>
  <c r="BQ97" i="6" s="1"/>
  <c r="BU97" i="6" s="1"/>
  <c r="BI97" i="6"/>
  <c r="BK97" i="6"/>
  <c r="BM97" i="6"/>
  <c r="BO97" i="6"/>
  <c r="BG98" i="6"/>
  <c r="BI98" i="6"/>
  <c r="BK98" i="6"/>
  <c r="BQ98" i="6" s="1"/>
  <c r="BM98" i="6"/>
  <c r="BO98" i="6"/>
  <c r="BG99" i="6"/>
  <c r="BI99" i="6"/>
  <c r="BK99" i="6"/>
  <c r="BM99" i="6"/>
  <c r="BO99" i="6"/>
  <c r="BG100" i="6"/>
  <c r="BI100" i="6"/>
  <c r="BQ100" i="6" s="1"/>
  <c r="BK100" i="6"/>
  <c r="BM100" i="6"/>
  <c r="BO100" i="6"/>
  <c r="BG101" i="6"/>
  <c r="BQ101" i="6" s="1"/>
  <c r="BU101" i="6" s="1"/>
  <c r="BI101" i="6"/>
  <c r="BK101" i="6"/>
  <c r="BM101" i="6"/>
  <c r="BO101" i="6"/>
  <c r="BG102" i="6"/>
  <c r="BQ102" i="6" s="1"/>
  <c r="BU102" i="6" s="1"/>
  <c r="BI102" i="6"/>
  <c r="BK102" i="6"/>
  <c r="BM102" i="6"/>
  <c r="BO102" i="6"/>
  <c r="BG103" i="6"/>
  <c r="BI103" i="6"/>
  <c r="BK103" i="6"/>
  <c r="BM103" i="6"/>
  <c r="BQ103" i="6" s="1"/>
  <c r="BU103" i="6" s="1"/>
  <c r="BO103" i="6"/>
  <c r="BG104" i="6"/>
  <c r="BI104" i="6"/>
  <c r="BK104" i="6"/>
  <c r="BM104" i="6"/>
  <c r="BO104" i="6"/>
  <c r="BG105" i="6"/>
  <c r="BQ105" i="6" s="1"/>
  <c r="BI105" i="6"/>
  <c r="BK105" i="6"/>
  <c r="BM105" i="6"/>
  <c r="BO105" i="6"/>
  <c r="BG106" i="6"/>
  <c r="BI106" i="6"/>
  <c r="BK106" i="6"/>
  <c r="BQ106" i="6" s="1"/>
  <c r="BM106" i="6"/>
  <c r="BO106" i="6"/>
  <c r="BG107" i="6"/>
  <c r="BI107" i="6"/>
  <c r="BK107" i="6"/>
  <c r="BQ107" i="6" s="1"/>
  <c r="BU107" i="6" s="1"/>
  <c r="BM107" i="6"/>
  <c r="BO107" i="6"/>
  <c r="BG108" i="6"/>
  <c r="BQ108" i="6" s="1"/>
  <c r="BI108" i="6"/>
  <c r="BK108" i="6"/>
  <c r="BM108" i="6"/>
  <c r="BO108" i="6"/>
  <c r="BG109" i="6"/>
  <c r="BI109" i="6"/>
  <c r="BK109" i="6"/>
  <c r="BM109" i="6"/>
  <c r="BO109" i="6"/>
  <c r="BQ109" i="6" s="1"/>
  <c r="BU109" i="6" s="1"/>
  <c r="BG110" i="6"/>
  <c r="BQ110" i="6" s="1"/>
  <c r="BU110" i="6" s="1"/>
  <c r="BI110" i="6"/>
  <c r="BK110" i="6"/>
  <c r="BM110" i="6"/>
  <c r="BO110" i="6"/>
  <c r="BO58" i="6"/>
  <c r="BM58" i="6"/>
  <c r="BK58" i="6"/>
  <c r="BI58" i="6"/>
  <c r="BQ90" i="6"/>
  <c r="BQ59" i="6"/>
  <c r="BQ61" i="6"/>
  <c r="BU61" i="6" s="1"/>
  <c r="BQ62" i="6"/>
  <c r="BU62" i="6" s="1"/>
  <c r="BQ64" i="6"/>
  <c r="BQ67" i="6"/>
  <c r="BU67" i="6" s="1"/>
  <c r="BQ72" i="6"/>
  <c r="BQ75" i="6"/>
  <c r="BQ77" i="6"/>
  <c r="BQ80" i="6"/>
  <c r="BQ83" i="6"/>
  <c r="BQ88" i="6"/>
  <c r="BQ91" i="6"/>
  <c r="BQ93" i="6"/>
  <c r="BU93" i="6" s="1"/>
  <c r="BQ94" i="6"/>
  <c r="BU94" i="6" s="1"/>
  <c r="BQ99" i="6"/>
  <c r="BQ104" i="6"/>
  <c r="BU104" i="6" s="1"/>
  <c r="BS110" i="6"/>
  <c r="BS109" i="6"/>
  <c r="BS108" i="6"/>
  <c r="BS107" i="6"/>
  <c r="BS106" i="6"/>
  <c r="BS105" i="6"/>
  <c r="BS104" i="6"/>
  <c r="BS103" i="6"/>
  <c r="BS102" i="6"/>
  <c r="BS101" i="6"/>
  <c r="BS100" i="6"/>
  <c r="BS99" i="6"/>
  <c r="BU99" i="6"/>
  <c r="BS98" i="6"/>
  <c r="BS97" i="6"/>
  <c r="BS96" i="6"/>
  <c r="BS95" i="6"/>
  <c r="BS94" i="6"/>
  <c r="BS93" i="6"/>
  <c r="BS92" i="6"/>
  <c r="BS91" i="6"/>
  <c r="BU91" i="6"/>
  <c r="BS90" i="6"/>
  <c r="BS89" i="6"/>
  <c r="BS88" i="6"/>
  <c r="BU88" i="6"/>
  <c r="BS87" i="6"/>
  <c r="BS86" i="6"/>
  <c r="BS85" i="6"/>
  <c r="BS84" i="6"/>
  <c r="BS83" i="6"/>
  <c r="BU83" i="6"/>
  <c r="BS82" i="6"/>
  <c r="BS81" i="6"/>
  <c r="BS80" i="6"/>
  <c r="BU80" i="6"/>
  <c r="BS79" i="6"/>
  <c r="BS78" i="6"/>
  <c r="BS77" i="6"/>
  <c r="BU77" i="6"/>
  <c r="BS76" i="6"/>
  <c r="BS75" i="6"/>
  <c r="BU75" i="6"/>
  <c r="BS74" i="6"/>
  <c r="BS73" i="6"/>
  <c r="BS72" i="6"/>
  <c r="BU72" i="6"/>
  <c r="BS71" i="6"/>
  <c r="BS70" i="6"/>
  <c r="BS69" i="6"/>
  <c r="BS68" i="6"/>
  <c r="BS67" i="6"/>
  <c r="BS66" i="6"/>
  <c r="BS65" i="6"/>
  <c r="BS64" i="6"/>
  <c r="BU64" i="6"/>
  <c r="BS63" i="6"/>
  <c r="BS62" i="6"/>
  <c r="BS61" i="6"/>
  <c r="BS60" i="6"/>
  <c r="BS59" i="6"/>
  <c r="BU59" i="6"/>
  <c r="BS58" i="6"/>
  <c r="U26" i="7"/>
  <c r="AF78" i="7"/>
  <c r="AA7" i="7"/>
  <c r="X32" i="7"/>
  <c r="X58" i="7"/>
  <c r="AA107" i="7"/>
  <c r="Z126" i="7"/>
  <c r="Z138" i="7"/>
  <c r="Z162" i="7"/>
  <c r="AL168" i="7"/>
  <c r="AL169" i="7"/>
  <c r="W6" i="7"/>
  <c r="W7" i="7"/>
  <c r="W8" i="7"/>
  <c r="W9" i="7"/>
  <c r="Y9" i="7" s="1"/>
  <c r="W10" i="7"/>
  <c r="W11" i="7"/>
  <c r="AA11" i="7" s="1"/>
  <c r="W12" i="7"/>
  <c r="AA12" i="7" s="1"/>
  <c r="W13" i="7"/>
  <c r="Z13" i="7" s="1"/>
  <c r="W14" i="7"/>
  <c r="AA14" i="7" s="1"/>
  <c r="W15" i="7"/>
  <c r="Y15" i="7" s="1"/>
  <c r="W16" i="7"/>
  <c r="X16" i="7" s="1"/>
  <c r="W17" i="7"/>
  <c r="W18" i="7"/>
  <c r="X18" i="7" s="1"/>
  <c r="W19" i="7"/>
  <c r="Y19" i="7" s="1"/>
  <c r="W20" i="7"/>
  <c r="X20" i="7" s="1"/>
  <c r="W21" i="7"/>
  <c r="Y21" i="7" s="1"/>
  <c r="W22" i="7"/>
  <c r="W23" i="7"/>
  <c r="W24" i="7"/>
  <c r="X24" i="7" s="1"/>
  <c r="W25" i="7"/>
  <c r="W26" i="7"/>
  <c r="X26" i="7" s="1"/>
  <c r="W27" i="7"/>
  <c r="W28" i="7"/>
  <c r="W29" i="7"/>
  <c r="W30" i="7"/>
  <c r="AA30" i="7" s="1"/>
  <c r="W31" i="7"/>
  <c r="Y31" i="7" s="1"/>
  <c r="W32" i="7"/>
  <c r="W33" i="7"/>
  <c r="W34" i="7"/>
  <c r="X34" i="7" s="1"/>
  <c r="W35" i="7"/>
  <c r="Y35" i="7" s="1"/>
  <c r="W36" i="7"/>
  <c r="X36" i="7" s="1"/>
  <c r="W37" i="7"/>
  <c r="Y37" i="7" s="1"/>
  <c r="W38" i="7"/>
  <c r="W39" i="7"/>
  <c r="W40" i="7"/>
  <c r="W41" i="7"/>
  <c r="W42" i="7"/>
  <c r="X42" i="7" s="1"/>
  <c r="W43" i="7"/>
  <c r="W44" i="7"/>
  <c r="W45" i="7"/>
  <c r="W46" i="7"/>
  <c r="AA46" i="7" s="1"/>
  <c r="W47" i="7"/>
  <c r="Y47" i="7" s="1"/>
  <c r="W48" i="7"/>
  <c r="X48" i="7" s="1"/>
  <c r="W49" i="7"/>
  <c r="W50" i="7"/>
  <c r="X50" i="7" s="1"/>
  <c r="W51" i="7"/>
  <c r="Y51" i="7" s="1"/>
  <c r="W52" i="7"/>
  <c r="X52" i="7" s="1"/>
  <c r="W53" i="7"/>
  <c r="Y53" i="7" s="1"/>
  <c r="W54" i="7"/>
  <c r="W55" i="7"/>
  <c r="W56" i="7"/>
  <c r="AA56" i="7" s="1"/>
  <c r="W57" i="7"/>
  <c r="W58" i="7"/>
  <c r="AA58" i="7" s="1"/>
  <c r="W59" i="7"/>
  <c r="Y59" i="7" s="1"/>
  <c r="W60" i="7"/>
  <c r="X60" i="7" s="1"/>
  <c r="W61" i="7"/>
  <c r="Y61" i="7" s="1"/>
  <c r="W62" i="7"/>
  <c r="X62" i="7" s="1"/>
  <c r="W63" i="7"/>
  <c r="W64" i="7"/>
  <c r="W65" i="7"/>
  <c r="W66" i="7"/>
  <c r="AA66" i="7" s="1"/>
  <c r="W67" i="7"/>
  <c r="Y67" i="7" s="1"/>
  <c r="W68" i="7"/>
  <c r="X68" i="7" s="1"/>
  <c r="W69" i="7"/>
  <c r="Y69" i="7" s="1"/>
  <c r="W70" i="7"/>
  <c r="W71" i="7"/>
  <c r="W72" i="7"/>
  <c r="AA72" i="7" s="1"/>
  <c r="W73" i="7"/>
  <c r="W74" i="7"/>
  <c r="X74" i="7" s="1"/>
  <c r="W75" i="7"/>
  <c r="Y75" i="7" s="1"/>
  <c r="W76" i="7"/>
  <c r="X76" i="7" s="1"/>
  <c r="W77" i="7"/>
  <c r="W78" i="7"/>
  <c r="Z78" i="7" s="1"/>
  <c r="W79" i="7"/>
  <c r="Y79" i="7" s="1"/>
  <c r="W80" i="7"/>
  <c r="W81" i="7"/>
  <c r="W82" i="7"/>
  <c r="AF82" i="7" s="1"/>
  <c r="W83" i="7"/>
  <c r="AA83" i="7" s="1"/>
  <c r="W84" i="7"/>
  <c r="X84" i="7" s="1"/>
  <c r="W85" i="7"/>
  <c r="Y85" i="7" s="1"/>
  <c r="W86" i="7"/>
  <c r="W87" i="7"/>
  <c r="W88" i="7"/>
  <c r="AA88" i="7" s="1"/>
  <c r="W89" i="7"/>
  <c r="W90" i="7"/>
  <c r="X90" i="7" s="1"/>
  <c r="W91" i="7"/>
  <c r="AH91" i="7" s="1"/>
  <c r="W92" i="7"/>
  <c r="X92" i="7" s="1"/>
  <c r="W93" i="7"/>
  <c r="AA93" i="7" s="1"/>
  <c r="W94" i="7"/>
  <c r="AJ94" i="7" s="1"/>
  <c r="W95" i="7"/>
  <c r="W96" i="7"/>
  <c r="W97" i="7"/>
  <c r="W98" i="7"/>
  <c r="X98" i="7" s="1"/>
  <c r="W99" i="7"/>
  <c r="Y99" i="7" s="1"/>
  <c r="W100" i="7"/>
  <c r="AJ100" i="7" s="1"/>
  <c r="W101" i="7"/>
  <c r="AA101" i="7" s="1"/>
  <c r="W102" i="7"/>
  <c r="X102" i="7" s="1"/>
  <c r="W103" i="7"/>
  <c r="W104" i="7"/>
  <c r="W105" i="7"/>
  <c r="Y105" i="7" s="1"/>
  <c r="W106" i="7"/>
  <c r="X106" i="7" s="1"/>
  <c r="W107" i="7"/>
  <c r="Y107" i="7" s="1"/>
  <c r="W108" i="7"/>
  <c r="AH108" i="7" s="1"/>
  <c r="W109" i="7"/>
  <c r="Z109" i="7" s="1"/>
  <c r="W110" i="7"/>
  <c r="X110" i="7" s="1"/>
  <c r="W111" i="7"/>
  <c r="W112" i="7"/>
  <c r="Z112" i="7" s="1"/>
  <c r="W113" i="7"/>
  <c r="W114" i="7"/>
  <c r="X114" i="7" s="1"/>
  <c r="W115" i="7"/>
  <c r="Y115" i="7" s="1"/>
  <c r="W116" i="7"/>
  <c r="X116" i="7" s="1"/>
  <c r="W117" i="7"/>
  <c r="AA117" i="7" s="1"/>
  <c r="W118" i="7"/>
  <c r="X118" i="7" s="1"/>
  <c r="W119" i="7"/>
  <c r="W120" i="7"/>
  <c r="Z120" i="7" s="1"/>
  <c r="W121" i="7"/>
  <c r="W122" i="7"/>
  <c r="AG122" i="7" s="1"/>
  <c r="W123" i="7"/>
  <c r="Y123" i="7" s="1"/>
  <c r="W124" i="7"/>
  <c r="X124" i="7" s="1"/>
  <c r="W125" i="7"/>
  <c r="AA125" i="7" s="1"/>
  <c r="W126" i="7"/>
  <c r="X126" i="7" s="1"/>
  <c r="W127" i="7"/>
  <c r="W128" i="7"/>
  <c r="W129" i="7"/>
  <c r="W130" i="7"/>
  <c r="X130" i="7" s="1"/>
  <c r="W131" i="7"/>
  <c r="Y131" i="7" s="1"/>
  <c r="W132" i="7"/>
  <c r="X132" i="7" s="1"/>
  <c r="W133" i="7"/>
  <c r="AE133" i="7" s="1"/>
  <c r="W134" i="7"/>
  <c r="AC134" i="7" s="1"/>
  <c r="W135" i="7"/>
  <c r="AH135" i="7" s="1"/>
  <c r="W136" i="7"/>
  <c r="W137" i="7"/>
  <c r="W138" i="7"/>
  <c r="AI138" i="7" s="1"/>
  <c r="W139" i="7"/>
  <c r="Y139" i="7" s="1"/>
  <c r="W140" i="7"/>
  <c r="X140" i="7" s="1"/>
  <c r="W141" i="7"/>
  <c r="AA141" i="7" s="1"/>
  <c r="W142" i="7"/>
  <c r="X142" i="7" s="1"/>
  <c r="W143" i="7"/>
  <c r="X143" i="7" s="1"/>
  <c r="W144" i="7"/>
  <c r="W145" i="7"/>
  <c r="W146" i="7"/>
  <c r="X146" i="7" s="1"/>
  <c r="W147" i="7"/>
  <c r="Y147" i="7" s="1"/>
  <c r="W148" i="7"/>
  <c r="X148" i="7" s="1"/>
  <c r="W149" i="7"/>
  <c r="AA149" i="7" s="1"/>
  <c r="W150" i="7"/>
  <c r="X150" i="7" s="1"/>
  <c r="W151" i="7"/>
  <c r="X151" i="7" s="1"/>
  <c r="W152" i="7"/>
  <c r="AG152" i="7" s="1"/>
  <c r="W153" i="7"/>
  <c r="W154" i="7"/>
  <c r="AC154" i="7" s="1"/>
  <c r="W155" i="7"/>
  <c r="Y155" i="7" s="1"/>
  <c r="W156" i="7"/>
  <c r="AF156" i="7" s="1"/>
  <c r="W157" i="7"/>
  <c r="AA157" i="7" s="1"/>
  <c r="W158" i="7"/>
  <c r="X158" i="7" s="1"/>
  <c r="W159" i="7"/>
  <c r="X159" i="7" s="1"/>
  <c r="W160" i="7"/>
  <c r="Z160" i="7" s="1"/>
  <c r="W161" i="7"/>
  <c r="W162" i="7"/>
  <c r="AJ162" i="7" s="1"/>
  <c r="W163" i="7"/>
  <c r="AG163" i="7" s="1"/>
  <c r="W164" i="7"/>
  <c r="AF164" i="7" s="1"/>
  <c r="W165" i="7"/>
  <c r="AA165" i="7" s="1"/>
  <c r="W166" i="7"/>
  <c r="X166" i="7" s="1"/>
  <c r="W167" i="7"/>
  <c r="X167" i="7" s="1"/>
  <c r="W168" i="7"/>
  <c r="W5" i="7"/>
  <c r="I155" i="2" s="1"/>
  <c r="Z116" i="7" l="1"/>
  <c r="D210" i="2"/>
  <c r="K191" i="2"/>
  <c r="AA5" i="7"/>
  <c r="Y162" i="7"/>
  <c r="Z154" i="7"/>
  <c r="Z146" i="7"/>
  <c r="Y138" i="7"/>
  <c r="Y126" i="7"/>
  <c r="Y116" i="7"/>
  <c r="AA91" i="7"/>
  <c r="AA75" i="7"/>
  <c r="AK165" i="7"/>
  <c r="AD75" i="7"/>
  <c r="L222" i="2"/>
  <c r="I221" i="2"/>
  <c r="L218" i="2"/>
  <c r="D214" i="2"/>
  <c r="J209" i="2"/>
  <c r="P204" i="2"/>
  <c r="H200" i="2"/>
  <c r="N195" i="2"/>
  <c r="P190" i="2"/>
  <c r="M185" i="2"/>
  <c r="K176" i="2"/>
  <c r="C158" i="2"/>
  <c r="H196" i="2"/>
  <c r="Y154" i="7"/>
  <c r="Y146" i="7"/>
  <c r="Z134" i="7"/>
  <c r="Z124" i="7"/>
  <c r="Z114" i="7"/>
  <c r="Z102" i="7"/>
  <c r="AA85" i="7"/>
  <c r="AA52" i="7"/>
  <c r="AA26" i="7"/>
  <c r="F51" i="2" s="1"/>
  <c r="AF165" i="7"/>
  <c r="AK134" i="7"/>
  <c r="X5" i="7"/>
  <c r="K222" i="2"/>
  <c r="H221" i="2"/>
  <c r="D218" i="2"/>
  <c r="J213" i="2"/>
  <c r="P208" i="2"/>
  <c r="H204" i="2"/>
  <c r="N199" i="2"/>
  <c r="F195" i="2"/>
  <c r="G190" i="2"/>
  <c r="D185" i="2"/>
  <c r="G174" i="2"/>
  <c r="Y156" i="7"/>
  <c r="Y148" i="7"/>
  <c r="N222" i="2"/>
  <c r="J205" i="2"/>
  <c r="O178" i="2"/>
  <c r="G27" i="2"/>
  <c r="C29" i="2"/>
  <c r="C33" i="2"/>
  <c r="I36" i="2"/>
  <c r="C41" i="2"/>
  <c r="C53" i="2"/>
  <c r="C57" i="2"/>
  <c r="C61" i="2"/>
  <c r="D17" i="2"/>
  <c r="D21" i="2"/>
  <c r="F22" i="2"/>
  <c r="D25" i="2"/>
  <c r="D29" i="2"/>
  <c r="F38" i="2"/>
  <c r="C20" i="2"/>
  <c r="I27" i="2"/>
  <c r="C32" i="2"/>
  <c r="H30" i="2"/>
  <c r="F33" i="2"/>
  <c r="D44" i="2"/>
  <c r="F61" i="2"/>
  <c r="E16" i="2"/>
  <c r="C27" i="2"/>
  <c r="M36" i="2"/>
  <c r="C51" i="2"/>
  <c r="C55" i="2"/>
  <c r="G61" i="2"/>
  <c r="L15" i="2"/>
  <c r="F28" i="2"/>
  <c r="D35" i="2"/>
  <c r="D39" i="2"/>
  <c r="D43" i="2"/>
  <c r="D47" i="2"/>
  <c r="F52" i="2"/>
  <c r="E23" i="2"/>
  <c r="C54" i="2"/>
  <c r="E55" i="2"/>
  <c r="F27" i="2"/>
  <c r="D61" i="2"/>
  <c r="N61" i="2"/>
  <c r="H62" i="2"/>
  <c r="P62" i="2"/>
  <c r="J63" i="2"/>
  <c r="D64" i="2"/>
  <c r="L64" i="2"/>
  <c r="F65" i="2"/>
  <c r="N65" i="2"/>
  <c r="H66" i="2"/>
  <c r="P66" i="2"/>
  <c r="J67" i="2"/>
  <c r="D68" i="2"/>
  <c r="L68" i="2"/>
  <c r="F69" i="2"/>
  <c r="N69" i="2"/>
  <c r="H70" i="2"/>
  <c r="P70" i="2"/>
  <c r="J71" i="2"/>
  <c r="D72" i="2"/>
  <c r="L72" i="2"/>
  <c r="F73" i="2"/>
  <c r="N73" i="2"/>
  <c r="H74" i="2"/>
  <c r="P74" i="2"/>
  <c r="J75" i="2"/>
  <c r="D76" i="2"/>
  <c r="L76" i="2"/>
  <c r="F77" i="2"/>
  <c r="N77" i="2"/>
  <c r="H78" i="2"/>
  <c r="P78" i="2"/>
  <c r="J79" i="2"/>
  <c r="D80" i="2"/>
  <c r="L80" i="2"/>
  <c r="F81" i="2"/>
  <c r="N81" i="2"/>
  <c r="H82" i="2"/>
  <c r="P82" i="2"/>
  <c r="J83" i="2"/>
  <c r="D84" i="2"/>
  <c r="L84" i="2"/>
  <c r="F85" i="2"/>
  <c r="N85" i="2"/>
  <c r="H86" i="2"/>
  <c r="P86" i="2"/>
  <c r="J87" i="2"/>
  <c r="D88" i="2"/>
  <c r="L88" i="2"/>
  <c r="F89" i="2"/>
  <c r="N89" i="2"/>
  <c r="H90" i="2"/>
  <c r="P90" i="2"/>
  <c r="J91" i="2"/>
  <c r="D92" i="2"/>
  <c r="L92" i="2"/>
  <c r="F93" i="2"/>
  <c r="N93" i="2"/>
  <c r="H94" i="2"/>
  <c r="P94" i="2"/>
  <c r="J95" i="2"/>
  <c r="D96" i="2"/>
  <c r="L96" i="2"/>
  <c r="F97" i="2"/>
  <c r="N97" i="2"/>
  <c r="H98" i="2"/>
  <c r="P98" i="2"/>
  <c r="J99" i="2"/>
  <c r="D100" i="2"/>
  <c r="L100" i="2"/>
  <c r="F101" i="2"/>
  <c r="E61" i="2"/>
  <c r="O61" i="2"/>
  <c r="I62" i="2"/>
  <c r="C63" i="2"/>
  <c r="K63" i="2"/>
  <c r="E64" i="2"/>
  <c r="M64" i="2"/>
  <c r="G65" i="2"/>
  <c r="O65" i="2"/>
  <c r="I66" i="2"/>
  <c r="C67" i="2"/>
  <c r="K67" i="2"/>
  <c r="E68" i="2"/>
  <c r="M68" i="2"/>
  <c r="G69" i="2"/>
  <c r="O69" i="2"/>
  <c r="I70" i="2"/>
  <c r="C71" i="2"/>
  <c r="K71" i="2"/>
  <c r="E72" i="2"/>
  <c r="M72" i="2"/>
  <c r="G73" i="2"/>
  <c r="O73" i="2"/>
  <c r="I74" i="2"/>
  <c r="C75" i="2"/>
  <c r="K75" i="2"/>
  <c r="E76" i="2"/>
  <c r="M76" i="2"/>
  <c r="G77" i="2"/>
  <c r="O77" i="2"/>
  <c r="I78" i="2"/>
  <c r="C79" i="2"/>
  <c r="K79" i="2"/>
  <c r="E80" i="2"/>
  <c r="M80" i="2"/>
  <c r="G81" i="2"/>
  <c r="O81" i="2"/>
  <c r="I82" i="2"/>
  <c r="C83" i="2"/>
  <c r="K83" i="2"/>
  <c r="E84" i="2"/>
  <c r="M84" i="2"/>
  <c r="F19" i="2"/>
  <c r="H61" i="2"/>
  <c r="P61" i="2"/>
  <c r="J62" i="2"/>
  <c r="D63" i="2"/>
  <c r="L63" i="2"/>
  <c r="F64" i="2"/>
  <c r="N64" i="2"/>
  <c r="H65" i="2"/>
  <c r="P65" i="2"/>
  <c r="J66" i="2"/>
  <c r="D67" i="2"/>
  <c r="L67" i="2"/>
  <c r="F68" i="2"/>
  <c r="N68" i="2"/>
  <c r="H69" i="2"/>
  <c r="P69" i="2"/>
  <c r="J70" i="2"/>
  <c r="D71" i="2"/>
  <c r="L71" i="2"/>
  <c r="F72" i="2"/>
  <c r="N72" i="2"/>
  <c r="H73" i="2"/>
  <c r="P73" i="2"/>
  <c r="J74" i="2"/>
  <c r="D75" i="2"/>
  <c r="L75" i="2"/>
  <c r="F76" i="2"/>
  <c r="N76" i="2"/>
  <c r="H77" i="2"/>
  <c r="P77" i="2"/>
  <c r="J78" i="2"/>
  <c r="D79" i="2"/>
  <c r="L79" i="2"/>
  <c r="F80" i="2"/>
  <c r="N80" i="2"/>
  <c r="H81" i="2"/>
  <c r="P81" i="2"/>
  <c r="J82" i="2"/>
  <c r="D83" i="2"/>
  <c r="L83" i="2"/>
  <c r="F84" i="2"/>
  <c r="N84" i="2"/>
  <c r="I61" i="2"/>
  <c r="C62" i="2"/>
  <c r="K62" i="2"/>
  <c r="E63" i="2"/>
  <c r="M63" i="2"/>
  <c r="G64" i="2"/>
  <c r="O64" i="2"/>
  <c r="I65" i="2"/>
  <c r="C66" i="2"/>
  <c r="K66" i="2"/>
  <c r="E67" i="2"/>
  <c r="M67" i="2"/>
  <c r="G68" i="2"/>
  <c r="O68" i="2"/>
  <c r="I69" i="2"/>
  <c r="C70" i="2"/>
  <c r="K70" i="2"/>
  <c r="E71" i="2"/>
  <c r="M71" i="2"/>
  <c r="G72" i="2"/>
  <c r="O72" i="2"/>
  <c r="I73" i="2"/>
  <c r="C74" i="2"/>
  <c r="K74" i="2"/>
  <c r="E75" i="2"/>
  <c r="M75" i="2"/>
  <c r="G76" i="2"/>
  <c r="O76" i="2"/>
  <c r="I77" i="2"/>
  <c r="C78" i="2"/>
  <c r="K78" i="2"/>
  <c r="E79" i="2"/>
  <c r="M79" i="2"/>
  <c r="G80" i="2"/>
  <c r="O80" i="2"/>
  <c r="I81" i="2"/>
  <c r="C82" i="2"/>
  <c r="K82" i="2"/>
  <c r="E83" i="2"/>
  <c r="M83" i="2"/>
  <c r="G84" i="2"/>
  <c r="O84" i="2"/>
  <c r="I85" i="2"/>
  <c r="C86" i="2"/>
  <c r="K86" i="2"/>
  <c r="E87" i="2"/>
  <c r="M87" i="2"/>
  <c r="G88" i="2"/>
  <c r="O88" i="2"/>
  <c r="I89" i="2"/>
  <c r="C90" i="2"/>
  <c r="K90" i="2"/>
  <c r="E91" i="2"/>
  <c r="M91" i="2"/>
  <c r="G92" i="2"/>
  <c r="O92" i="2"/>
  <c r="I93" i="2"/>
  <c r="C94" i="2"/>
  <c r="K94" i="2"/>
  <c r="E95" i="2"/>
  <c r="M95" i="2"/>
  <c r="G96" i="2"/>
  <c r="O96" i="2"/>
  <c r="I97" i="2"/>
  <c r="C98" i="2"/>
  <c r="K98" i="2"/>
  <c r="E99" i="2"/>
  <c r="M99" i="2"/>
  <c r="G100" i="2"/>
  <c r="C56" i="2"/>
  <c r="J61" i="2"/>
  <c r="D62" i="2"/>
  <c r="L62" i="2"/>
  <c r="F63" i="2"/>
  <c r="N63" i="2"/>
  <c r="H64" i="2"/>
  <c r="P64" i="2"/>
  <c r="J65" i="2"/>
  <c r="D66" i="2"/>
  <c r="L66" i="2"/>
  <c r="F67" i="2"/>
  <c r="N67" i="2"/>
  <c r="H68" i="2"/>
  <c r="P68" i="2"/>
  <c r="J69" i="2"/>
  <c r="D70" i="2"/>
  <c r="L70" i="2"/>
  <c r="F71" i="2"/>
  <c r="N71" i="2"/>
  <c r="H72" i="2"/>
  <c r="P72" i="2"/>
  <c r="J73" i="2"/>
  <c r="D74" i="2"/>
  <c r="L74" i="2"/>
  <c r="F75" i="2"/>
  <c r="N75" i="2"/>
  <c r="H76" i="2"/>
  <c r="P76" i="2"/>
  <c r="J77" i="2"/>
  <c r="D78" i="2"/>
  <c r="L78" i="2"/>
  <c r="F79" i="2"/>
  <c r="N79" i="2"/>
  <c r="H80" i="2"/>
  <c r="P80" i="2"/>
  <c r="J81" i="2"/>
  <c r="D82" i="2"/>
  <c r="L82" i="2"/>
  <c r="F83" i="2"/>
  <c r="N83" i="2"/>
  <c r="H84" i="2"/>
  <c r="P84" i="2"/>
  <c r="J85" i="2"/>
  <c r="D86" i="2"/>
  <c r="L86" i="2"/>
  <c r="F87" i="2"/>
  <c r="N87" i="2"/>
  <c r="H88" i="2"/>
  <c r="P88" i="2"/>
  <c r="J89" i="2"/>
  <c r="D90" i="2"/>
  <c r="L90" i="2"/>
  <c r="F91" i="2"/>
  <c r="N91" i="2"/>
  <c r="H92" i="2"/>
  <c r="P92" i="2"/>
  <c r="J93" i="2"/>
  <c r="D94" i="2"/>
  <c r="L94" i="2"/>
  <c r="F95" i="2"/>
  <c r="N95" i="2"/>
  <c r="H96" i="2"/>
  <c r="P96" i="2"/>
  <c r="J97" i="2"/>
  <c r="D98" i="2"/>
  <c r="L98" i="2"/>
  <c r="F99" i="2"/>
  <c r="K61" i="2"/>
  <c r="E62" i="2"/>
  <c r="M62" i="2"/>
  <c r="G63" i="2"/>
  <c r="O63" i="2"/>
  <c r="I64" i="2"/>
  <c r="C65" i="2"/>
  <c r="K65" i="2"/>
  <c r="E66" i="2"/>
  <c r="M66" i="2"/>
  <c r="G67" i="2"/>
  <c r="O67" i="2"/>
  <c r="I68" i="2"/>
  <c r="C69" i="2"/>
  <c r="K69" i="2"/>
  <c r="E70" i="2"/>
  <c r="M70" i="2"/>
  <c r="G71" i="2"/>
  <c r="O71" i="2"/>
  <c r="I72" i="2"/>
  <c r="C73" i="2"/>
  <c r="K73" i="2"/>
  <c r="E74" i="2"/>
  <c r="M74" i="2"/>
  <c r="G75" i="2"/>
  <c r="O75" i="2"/>
  <c r="I76" i="2"/>
  <c r="C77" i="2"/>
  <c r="K77" i="2"/>
  <c r="E78" i="2"/>
  <c r="M78" i="2"/>
  <c r="G79" i="2"/>
  <c r="O79" i="2"/>
  <c r="I80" i="2"/>
  <c r="C81" i="2"/>
  <c r="K81" i="2"/>
  <c r="E82" i="2"/>
  <c r="M82" i="2"/>
  <c r="G83" i="2"/>
  <c r="O83" i="2"/>
  <c r="I84" i="2"/>
  <c r="C85" i="2"/>
  <c r="K85" i="2"/>
  <c r="E86" i="2"/>
  <c r="M86" i="2"/>
  <c r="G87" i="2"/>
  <c r="AS15" i="6" s="1"/>
  <c r="O87" i="2"/>
  <c r="I88" i="2"/>
  <c r="C89" i="2"/>
  <c r="K89" i="2"/>
  <c r="E90" i="2"/>
  <c r="M90" i="2"/>
  <c r="G91" i="2"/>
  <c r="O91" i="2"/>
  <c r="I92" i="2"/>
  <c r="C93" i="2"/>
  <c r="K93" i="2"/>
  <c r="E94" i="2"/>
  <c r="M94" i="2"/>
  <c r="G95" i="2"/>
  <c r="O95" i="2"/>
  <c r="I96" i="2"/>
  <c r="C97" i="2"/>
  <c r="K97" i="2"/>
  <c r="E98" i="2"/>
  <c r="M98" i="2"/>
  <c r="G99" i="2"/>
  <c r="O99" i="2"/>
  <c r="D26" i="2"/>
  <c r="L61" i="2"/>
  <c r="F62" i="2"/>
  <c r="N62" i="2"/>
  <c r="H63" i="2"/>
  <c r="P63" i="2"/>
  <c r="J64" i="2"/>
  <c r="D65" i="2"/>
  <c r="L65" i="2"/>
  <c r="F66" i="2"/>
  <c r="N66" i="2"/>
  <c r="H67" i="2"/>
  <c r="P67" i="2"/>
  <c r="J68" i="2"/>
  <c r="D69" i="2"/>
  <c r="L69" i="2"/>
  <c r="F70" i="2"/>
  <c r="N70" i="2"/>
  <c r="H71" i="2"/>
  <c r="P71" i="2"/>
  <c r="BF9" i="6" s="1"/>
  <c r="J72" i="2"/>
  <c r="D73" i="2"/>
  <c r="L73" i="2"/>
  <c r="F74" i="2"/>
  <c r="N74" i="2"/>
  <c r="H75" i="2"/>
  <c r="P75" i="2"/>
  <c r="J76" i="2"/>
  <c r="D77" i="2"/>
  <c r="L77" i="2"/>
  <c r="F78" i="2"/>
  <c r="N78" i="2"/>
  <c r="H79" i="2"/>
  <c r="P79" i="2"/>
  <c r="J80" i="2"/>
  <c r="D81" i="2"/>
  <c r="L81" i="2"/>
  <c r="F82" i="2"/>
  <c r="N82" i="2"/>
  <c r="H83" i="2"/>
  <c r="P83" i="2"/>
  <c r="J84" i="2"/>
  <c r="D85" i="2"/>
  <c r="L85" i="2"/>
  <c r="F86" i="2"/>
  <c r="N86" i="2"/>
  <c r="H87" i="2"/>
  <c r="AT15" i="6" s="1"/>
  <c r="P87" i="2"/>
  <c r="J88" i="2"/>
  <c r="D89" i="2"/>
  <c r="L89" i="2"/>
  <c r="F90" i="2"/>
  <c r="N90" i="2"/>
  <c r="H91" i="2"/>
  <c r="P91" i="2"/>
  <c r="J92" i="2"/>
  <c r="D93" i="2"/>
  <c r="L93" i="2"/>
  <c r="F94" i="2"/>
  <c r="N94" i="2"/>
  <c r="H95" i="2"/>
  <c r="P95" i="2"/>
  <c r="J96" i="2"/>
  <c r="D97" i="2"/>
  <c r="L97" i="2"/>
  <c r="F98" i="2"/>
  <c r="N98" i="2"/>
  <c r="H99" i="2"/>
  <c r="D49" i="2"/>
  <c r="M65" i="2"/>
  <c r="G70" i="2"/>
  <c r="O74" i="2"/>
  <c r="I79" i="2"/>
  <c r="C84" i="2"/>
  <c r="G86" i="2"/>
  <c r="L87" i="2"/>
  <c r="AZ15" i="6" s="1"/>
  <c r="G89" i="2"/>
  <c r="O90" i="2"/>
  <c r="F92" i="2"/>
  <c r="O93" i="2"/>
  <c r="I95" i="2"/>
  <c r="N96" i="2"/>
  <c r="I98" i="2"/>
  <c r="N99" i="2"/>
  <c r="K100" i="2"/>
  <c r="G101" i="2"/>
  <c r="O101" i="2"/>
  <c r="I102" i="2"/>
  <c r="C103" i="2"/>
  <c r="K103" i="2"/>
  <c r="E104" i="2"/>
  <c r="M104" i="2"/>
  <c r="G105" i="2"/>
  <c r="O105" i="2"/>
  <c r="I106" i="2"/>
  <c r="C107" i="2"/>
  <c r="K107" i="2"/>
  <c r="E108" i="2"/>
  <c r="M108" i="2"/>
  <c r="G109" i="2"/>
  <c r="O109" i="2"/>
  <c r="I110" i="2"/>
  <c r="C111" i="2"/>
  <c r="K111" i="2"/>
  <c r="E112" i="2"/>
  <c r="M112" i="2"/>
  <c r="G113" i="2"/>
  <c r="O113" i="2"/>
  <c r="I114" i="2"/>
  <c r="C115" i="2"/>
  <c r="K115" i="2"/>
  <c r="E116" i="2"/>
  <c r="M116" i="2"/>
  <c r="G117" i="2"/>
  <c r="O117" i="2"/>
  <c r="I118" i="2"/>
  <c r="C119" i="2"/>
  <c r="K119" i="2"/>
  <c r="E120" i="2"/>
  <c r="M120" i="2"/>
  <c r="G121" i="2"/>
  <c r="O121" i="2"/>
  <c r="I122" i="2"/>
  <c r="C123" i="2"/>
  <c r="K123" i="2"/>
  <c r="E124" i="2"/>
  <c r="M124" i="2"/>
  <c r="G125" i="2"/>
  <c r="O125" i="2"/>
  <c r="I126" i="2"/>
  <c r="C127" i="2"/>
  <c r="K127" i="2"/>
  <c r="E128" i="2"/>
  <c r="M128" i="2"/>
  <c r="G129" i="2"/>
  <c r="O129" i="2"/>
  <c r="I130" i="2"/>
  <c r="C131" i="2"/>
  <c r="K131" i="2"/>
  <c r="E132" i="2"/>
  <c r="M132" i="2"/>
  <c r="G133" i="2"/>
  <c r="O133" i="2"/>
  <c r="I134" i="2"/>
  <c r="C135" i="2"/>
  <c r="K135" i="2"/>
  <c r="E136" i="2"/>
  <c r="M136" i="2"/>
  <c r="G137" i="2"/>
  <c r="O137" i="2"/>
  <c r="I138" i="2"/>
  <c r="C139" i="2"/>
  <c r="K139" i="2"/>
  <c r="E140" i="2"/>
  <c r="M140" i="2"/>
  <c r="G141" i="2"/>
  <c r="O141" i="2"/>
  <c r="I142" i="2"/>
  <c r="C143" i="2"/>
  <c r="K143" i="2"/>
  <c r="E144" i="2"/>
  <c r="M144" i="2"/>
  <c r="G145" i="2"/>
  <c r="O145" i="2"/>
  <c r="I146" i="2"/>
  <c r="C147" i="2"/>
  <c r="K147" i="2"/>
  <c r="E148" i="2"/>
  <c r="M61" i="2"/>
  <c r="G66" i="2"/>
  <c r="O70" i="2"/>
  <c r="I75" i="2"/>
  <c r="C80" i="2"/>
  <c r="K84" i="2"/>
  <c r="I86" i="2"/>
  <c r="C88" i="2"/>
  <c r="H89" i="2"/>
  <c r="C91" i="2"/>
  <c r="K92" i="2"/>
  <c r="P93" i="2"/>
  <c r="K95" i="2"/>
  <c r="E97" i="2"/>
  <c r="J98" i="2"/>
  <c r="P99" i="2"/>
  <c r="M100" i="2"/>
  <c r="H101" i="2"/>
  <c r="P101" i="2"/>
  <c r="J102" i="2"/>
  <c r="D103" i="2"/>
  <c r="L103" i="2"/>
  <c r="F104" i="2"/>
  <c r="N104" i="2"/>
  <c r="H105" i="2"/>
  <c r="P105" i="2"/>
  <c r="J106" i="2"/>
  <c r="D107" i="2"/>
  <c r="L107" i="2"/>
  <c r="F108" i="2"/>
  <c r="N108" i="2"/>
  <c r="H109" i="2"/>
  <c r="P109" i="2"/>
  <c r="J110" i="2"/>
  <c r="D111" i="2"/>
  <c r="L111" i="2"/>
  <c r="F112" i="2"/>
  <c r="N112" i="2"/>
  <c r="H113" i="2"/>
  <c r="P113" i="2"/>
  <c r="J114" i="2"/>
  <c r="D115" i="2"/>
  <c r="L115" i="2"/>
  <c r="F116" i="2"/>
  <c r="N116" i="2"/>
  <c r="H117" i="2"/>
  <c r="P117" i="2"/>
  <c r="J118" i="2"/>
  <c r="D119" i="2"/>
  <c r="L119" i="2"/>
  <c r="F120" i="2"/>
  <c r="N120" i="2"/>
  <c r="H121" i="2"/>
  <c r="P121" i="2"/>
  <c r="J122" i="2"/>
  <c r="D123" i="2"/>
  <c r="L123" i="2"/>
  <c r="F124" i="2"/>
  <c r="N124" i="2"/>
  <c r="H125" i="2"/>
  <c r="P125" i="2"/>
  <c r="J126" i="2"/>
  <c r="D127" i="2"/>
  <c r="L127" i="2"/>
  <c r="F128" i="2"/>
  <c r="N128" i="2"/>
  <c r="H129" i="2"/>
  <c r="P129" i="2"/>
  <c r="J130" i="2"/>
  <c r="D131" i="2"/>
  <c r="L131" i="2"/>
  <c r="F132" i="2"/>
  <c r="N132" i="2"/>
  <c r="H133" i="2"/>
  <c r="P133" i="2"/>
  <c r="J134" i="2"/>
  <c r="D135" i="2"/>
  <c r="L135" i="2"/>
  <c r="F136" i="2"/>
  <c r="N136" i="2"/>
  <c r="H137" i="2"/>
  <c r="G62" i="2"/>
  <c r="O66" i="2"/>
  <c r="I71" i="2"/>
  <c r="C76" i="2"/>
  <c r="K80" i="2"/>
  <c r="E85" i="2"/>
  <c r="J86" i="2"/>
  <c r="E88" i="2"/>
  <c r="M89" i="2"/>
  <c r="D91" i="2"/>
  <c r="M92" i="2"/>
  <c r="G94" i="2"/>
  <c r="L95" i="2"/>
  <c r="G97" i="2"/>
  <c r="O98" i="2"/>
  <c r="C100" i="2"/>
  <c r="F31" i="2"/>
  <c r="O62" i="2"/>
  <c r="I67" i="2"/>
  <c r="C72" i="2"/>
  <c r="K76" i="2"/>
  <c r="E81" i="2"/>
  <c r="G85" i="2"/>
  <c r="O86" i="2"/>
  <c r="F88" i="2"/>
  <c r="O89" i="2"/>
  <c r="I91" i="2"/>
  <c r="N92" i="2"/>
  <c r="I94" i="2"/>
  <c r="C96" i="2"/>
  <c r="H97" i="2"/>
  <c r="C99" i="2"/>
  <c r="E100" i="2"/>
  <c r="O100" i="2"/>
  <c r="J101" i="2"/>
  <c r="D102" i="2"/>
  <c r="L102" i="2"/>
  <c r="F103" i="2"/>
  <c r="N103" i="2"/>
  <c r="H104" i="2"/>
  <c r="P104" i="2"/>
  <c r="J105" i="2"/>
  <c r="D106" i="2"/>
  <c r="L106" i="2"/>
  <c r="F107" i="2"/>
  <c r="N107" i="2"/>
  <c r="H108" i="2"/>
  <c r="P108" i="2"/>
  <c r="J109" i="2"/>
  <c r="D110" i="2"/>
  <c r="L110" i="2"/>
  <c r="F111" i="2"/>
  <c r="N111" i="2"/>
  <c r="H112" i="2"/>
  <c r="P112" i="2"/>
  <c r="J113" i="2"/>
  <c r="D114" i="2"/>
  <c r="L114" i="2"/>
  <c r="F115" i="2"/>
  <c r="N115" i="2"/>
  <c r="H116" i="2"/>
  <c r="P116" i="2"/>
  <c r="J117" i="2"/>
  <c r="D118" i="2"/>
  <c r="L118" i="2"/>
  <c r="F119" i="2"/>
  <c r="N119" i="2"/>
  <c r="H120" i="2"/>
  <c r="P120" i="2"/>
  <c r="J121" i="2"/>
  <c r="AW24" i="6" s="1"/>
  <c r="D122" i="2"/>
  <c r="L122" i="2"/>
  <c r="F123" i="2"/>
  <c r="N123" i="2"/>
  <c r="H124" i="2"/>
  <c r="P124" i="2"/>
  <c r="J125" i="2"/>
  <c r="D126" i="2"/>
  <c r="L126" i="2"/>
  <c r="F127" i="2"/>
  <c r="N127" i="2"/>
  <c r="H128" i="2"/>
  <c r="P128" i="2"/>
  <c r="J129" i="2"/>
  <c r="D130" i="2"/>
  <c r="L130" i="2"/>
  <c r="F131" i="2"/>
  <c r="AR28" i="6" s="1"/>
  <c r="N131" i="2"/>
  <c r="BC28" i="6" s="1"/>
  <c r="H132" i="2"/>
  <c r="P132" i="2"/>
  <c r="J133" i="2"/>
  <c r="D134" i="2"/>
  <c r="L134" i="2"/>
  <c r="F135" i="2"/>
  <c r="N135" i="2"/>
  <c r="H136" i="2"/>
  <c r="P136" i="2"/>
  <c r="J137" i="2"/>
  <c r="D138" i="2"/>
  <c r="L138" i="2"/>
  <c r="F139" i="2"/>
  <c r="N139" i="2"/>
  <c r="H140" i="2"/>
  <c r="P140" i="2"/>
  <c r="J141" i="2"/>
  <c r="D142" i="2"/>
  <c r="L142" i="2"/>
  <c r="F143" i="2"/>
  <c r="N143" i="2"/>
  <c r="H144" i="2"/>
  <c r="P144" i="2"/>
  <c r="J145" i="2"/>
  <c r="D146" i="2"/>
  <c r="L146" i="2"/>
  <c r="F147" i="2"/>
  <c r="N147" i="2"/>
  <c r="H148" i="2"/>
  <c r="P148" i="2"/>
  <c r="J149" i="2"/>
  <c r="D150" i="2"/>
  <c r="L150" i="2"/>
  <c r="F151" i="2"/>
  <c r="N151" i="2"/>
  <c r="H152" i="2"/>
  <c r="P152" i="2"/>
  <c r="J153" i="2"/>
  <c r="D154" i="2"/>
  <c r="L154" i="2"/>
  <c r="F155" i="2"/>
  <c r="N155" i="2"/>
  <c r="H156" i="2"/>
  <c r="P156" i="2"/>
  <c r="J157" i="2"/>
  <c r="D158" i="2"/>
  <c r="L158" i="2"/>
  <c r="F159" i="2"/>
  <c r="N159" i="2"/>
  <c r="I63" i="2"/>
  <c r="C68" i="2"/>
  <c r="K72" i="2"/>
  <c r="E77" i="2"/>
  <c r="M81" i="2"/>
  <c r="H85" i="2"/>
  <c r="C87" i="2"/>
  <c r="K88" i="2"/>
  <c r="P89" i="2"/>
  <c r="K91" i="2"/>
  <c r="E93" i="2"/>
  <c r="J94" i="2"/>
  <c r="E96" i="2"/>
  <c r="M97" i="2"/>
  <c r="D99" i="2"/>
  <c r="F100" i="2"/>
  <c r="P100" i="2"/>
  <c r="K101" i="2"/>
  <c r="E102" i="2"/>
  <c r="M102" i="2"/>
  <c r="G103" i="2"/>
  <c r="O103" i="2"/>
  <c r="I104" i="2"/>
  <c r="C105" i="2"/>
  <c r="K105" i="2"/>
  <c r="E106" i="2"/>
  <c r="M106" i="2"/>
  <c r="G107" i="2"/>
  <c r="O107" i="2"/>
  <c r="I108" i="2"/>
  <c r="C109" i="2"/>
  <c r="K109" i="2"/>
  <c r="E110" i="2"/>
  <c r="M110" i="2"/>
  <c r="G111" i="2"/>
  <c r="O111" i="2"/>
  <c r="I112" i="2"/>
  <c r="C113" i="2"/>
  <c r="K113" i="2"/>
  <c r="E114" i="2"/>
  <c r="M114" i="2"/>
  <c r="G115" i="2"/>
  <c r="O115" i="2"/>
  <c r="I116" i="2"/>
  <c r="C117" i="2"/>
  <c r="K117" i="2"/>
  <c r="E118" i="2"/>
  <c r="M118" i="2"/>
  <c r="G119" i="2"/>
  <c r="O119" i="2"/>
  <c r="I120" i="2"/>
  <c r="C121" i="2"/>
  <c r="K121" i="2"/>
  <c r="E122" i="2"/>
  <c r="M122" i="2"/>
  <c r="G123" i="2"/>
  <c r="O123" i="2"/>
  <c r="I124" i="2"/>
  <c r="C125" i="2"/>
  <c r="K125" i="2"/>
  <c r="E126" i="2"/>
  <c r="M126" i="2"/>
  <c r="G127" i="2"/>
  <c r="O127" i="2"/>
  <c r="I128" i="2"/>
  <c r="C129" i="2"/>
  <c r="K129" i="2"/>
  <c r="E130" i="2"/>
  <c r="M130" i="2"/>
  <c r="G131" i="2"/>
  <c r="O131" i="2"/>
  <c r="I132" i="2"/>
  <c r="C133" i="2"/>
  <c r="K133" i="2"/>
  <c r="E134" i="2"/>
  <c r="M134" i="2"/>
  <c r="G135" i="2"/>
  <c r="O135" i="2"/>
  <c r="I136" i="2"/>
  <c r="C137" i="2"/>
  <c r="K137" i="2"/>
  <c r="E138" i="2"/>
  <c r="M138" i="2"/>
  <c r="G139" i="2"/>
  <c r="O139" i="2"/>
  <c r="I140" i="2"/>
  <c r="C141" i="2"/>
  <c r="K141" i="2"/>
  <c r="E142" i="2"/>
  <c r="M142" i="2"/>
  <c r="G143" i="2"/>
  <c r="O143" i="2"/>
  <c r="I144" i="2"/>
  <c r="C145" i="2"/>
  <c r="K145" i="2"/>
  <c r="E146" i="2"/>
  <c r="M146" i="2"/>
  <c r="G147" i="2"/>
  <c r="O147" i="2"/>
  <c r="I148" i="2"/>
  <c r="C149" i="2"/>
  <c r="K149" i="2"/>
  <c r="E150" i="2"/>
  <c r="C64" i="2"/>
  <c r="K68" i="2"/>
  <c r="E73" i="2"/>
  <c r="M77" i="2"/>
  <c r="G82" i="2"/>
  <c r="M85" i="2"/>
  <c r="D87" i="2"/>
  <c r="AO15" i="6" s="1"/>
  <c r="M88" i="2"/>
  <c r="G90" i="2"/>
  <c r="L91" i="2"/>
  <c r="G93" i="2"/>
  <c r="O94" i="2"/>
  <c r="F96" i="2"/>
  <c r="O97" i="2"/>
  <c r="I99" i="2"/>
  <c r="H100" i="2"/>
  <c r="C101" i="2"/>
  <c r="L101" i="2"/>
  <c r="F102" i="2"/>
  <c r="N102" i="2"/>
  <c r="H103" i="2"/>
  <c r="P103" i="2"/>
  <c r="J104" i="2"/>
  <c r="D105" i="2"/>
  <c r="L105" i="2"/>
  <c r="F106" i="2"/>
  <c r="N106" i="2"/>
  <c r="H107" i="2"/>
  <c r="P107" i="2"/>
  <c r="J108" i="2"/>
  <c r="D109" i="2"/>
  <c r="L109" i="2"/>
  <c r="F110" i="2"/>
  <c r="N110" i="2"/>
  <c r="H111" i="2"/>
  <c r="P111" i="2"/>
  <c r="J112" i="2"/>
  <c r="D113" i="2"/>
  <c r="L113" i="2"/>
  <c r="F114" i="2"/>
  <c r="N114" i="2"/>
  <c r="H115" i="2"/>
  <c r="P115" i="2"/>
  <c r="J116" i="2"/>
  <c r="D117" i="2"/>
  <c r="L117" i="2"/>
  <c r="F118" i="2"/>
  <c r="N118" i="2"/>
  <c r="H119" i="2"/>
  <c r="P119" i="2"/>
  <c r="J120" i="2"/>
  <c r="D121" i="2"/>
  <c r="AO24" i="6" s="1"/>
  <c r="L121" i="2"/>
  <c r="F122" i="2"/>
  <c r="N122" i="2"/>
  <c r="H123" i="2"/>
  <c r="P123" i="2"/>
  <c r="J124" i="2"/>
  <c r="D125" i="2"/>
  <c r="L125" i="2"/>
  <c r="F126" i="2"/>
  <c r="N126" i="2"/>
  <c r="H127" i="2"/>
  <c r="P127" i="2"/>
  <c r="J128" i="2"/>
  <c r="D129" i="2"/>
  <c r="L129" i="2"/>
  <c r="F130" i="2"/>
  <c r="N130" i="2"/>
  <c r="H131" i="2"/>
  <c r="P131" i="2"/>
  <c r="J132" i="2"/>
  <c r="D133" i="2"/>
  <c r="L133" i="2"/>
  <c r="F134" i="2"/>
  <c r="N134" i="2"/>
  <c r="H135" i="2"/>
  <c r="P135" i="2"/>
  <c r="J136" i="2"/>
  <c r="D137" i="2"/>
  <c r="L137" i="2"/>
  <c r="F138" i="2"/>
  <c r="AR30" i="6" s="1"/>
  <c r="N138" i="2"/>
  <c r="H139" i="2"/>
  <c r="P139" i="2"/>
  <c r="J140" i="2"/>
  <c r="D141" i="2"/>
  <c r="L141" i="2"/>
  <c r="F142" i="2"/>
  <c r="N142" i="2"/>
  <c r="H143" i="2"/>
  <c r="P143" i="2"/>
  <c r="J144" i="2"/>
  <c r="D145" i="2"/>
  <c r="L145" i="2"/>
  <c r="F146" i="2"/>
  <c r="N146" i="2"/>
  <c r="H147" i="2"/>
  <c r="K64" i="2"/>
  <c r="E69" i="2"/>
  <c r="M73" i="2"/>
  <c r="G78" i="2"/>
  <c r="O82" i="2"/>
  <c r="O85" i="2"/>
  <c r="I87" i="2"/>
  <c r="N88" i="2"/>
  <c r="I90" i="2"/>
  <c r="C92" i="2"/>
  <c r="H93" i="2"/>
  <c r="C95" i="2"/>
  <c r="K96" i="2"/>
  <c r="P97" i="2"/>
  <c r="K99" i="2"/>
  <c r="I100" i="2"/>
  <c r="D101" i="2"/>
  <c r="M101" i="2"/>
  <c r="G102" i="2"/>
  <c r="O102" i="2"/>
  <c r="I103" i="2"/>
  <c r="C104" i="2"/>
  <c r="K104" i="2"/>
  <c r="E105" i="2"/>
  <c r="M105" i="2"/>
  <c r="G106" i="2"/>
  <c r="O106" i="2"/>
  <c r="I107" i="2"/>
  <c r="C108" i="2"/>
  <c r="K108" i="2"/>
  <c r="E109" i="2"/>
  <c r="M109" i="2"/>
  <c r="G110" i="2"/>
  <c r="O110" i="2"/>
  <c r="I111" i="2"/>
  <c r="C112" i="2"/>
  <c r="K112" i="2"/>
  <c r="E113" i="2"/>
  <c r="M113" i="2"/>
  <c r="G114" i="2"/>
  <c r="O114" i="2"/>
  <c r="I115" i="2"/>
  <c r="C116" i="2"/>
  <c r="K116" i="2"/>
  <c r="E117" i="2"/>
  <c r="M117" i="2"/>
  <c r="G118" i="2"/>
  <c r="O118" i="2"/>
  <c r="I119" i="2"/>
  <c r="C120" i="2"/>
  <c r="K120" i="2"/>
  <c r="E121" i="2"/>
  <c r="AQ24" i="6" s="1"/>
  <c r="M121" i="2"/>
  <c r="G122" i="2"/>
  <c r="O122" i="2"/>
  <c r="I123" i="2"/>
  <c r="C124" i="2"/>
  <c r="K124" i="2"/>
  <c r="E125" i="2"/>
  <c r="M125" i="2"/>
  <c r="G126" i="2"/>
  <c r="O126" i="2"/>
  <c r="I127" i="2"/>
  <c r="C128" i="2"/>
  <c r="K128" i="2"/>
  <c r="E129" i="2"/>
  <c r="M129" i="2"/>
  <c r="G130" i="2"/>
  <c r="O130" i="2"/>
  <c r="I131" i="2"/>
  <c r="C132" i="2"/>
  <c r="K132" i="2"/>
  <c r="E133" i="2"/>
  <c r="M133" i="2"/>
  <c r="G134" i="2"/>
  <c r="O134" i="2"/>
  <c r="I135" i="2"/>
  <c r="C136" i="2"/>
  <c r="K136" i="2"/>
  <c r="E137" i="2"/>
  <c r="M137" i="2"/>
  <c r="G138" i="2"/>
  <c r="AS30" i="6" s="1"/>
  <c r="O138" i="2"/>
  <c r="K87" i="2"/>
  <c r="L99" i="2"/>
  <c r="K102" i="2"/>
  <c r="O104" i="2"/>
  <c r="E107" i="2"/>
  <c r="I109" i="2"/>
  <c r="M111" i="2"/>
  <c r="C114" i="2"/>
  <c r="G116" i="2"/>
  <c r="K118" i="2"/>
  <c r="O120" i="2"/>
  <c r="E123" i="2"/>
  <c r="I125" i="2"/>
  <c r="M127" i="2"/>
  <c r="C130" i="2"/>
  <c r="G132" i="2"/>
  <c r="K134" i="2"/>
  <c r="O136" i="2"/>
  <c r="K138" i="2"/>
  <c r="AY30" i="6" s="1"/>
  <c r="C140" i="2"/>
  <c r="E141" i="2"/>
  <c r="G142" i="2"/>
  <c r="I143" i="2"/>
  <c r="K144" i="2"/>
  <c r="M145" i="2"/>
  <c r="O146" i="2"/>
  <c r="P147" i="2"/>
  <c r="M148" i="2"/>
  <c r="I149" i="2"/>
  <c r="G150" i="2"/>
  <c r="P150" i="2"/>
  <c r="K151" i="2"/>
  <c r="F152" i="2"/>
  <c r="O152" i="2"/>
  <c r="K153" i="2"/>
  <c r="F154" i="2"/>
  <c r="O154" i="2"/>
  <c r="J155" i="2"/>
  <c r="E156" i="2"/>
  <c r="N156" i="2"/>
  <c r="I157" i="2"/>
  <c r="E158" i="2"/>
  <c r="N158" i="2"/>
  <c r="I159" i="2"/>
  <c r="D160" i="2"/>
  <c r="L160" i="2"/>
  <c r="F161" i="2"/>
  <c r="N161" i="2"/>
  <c r="H162" i="2"/>
  <c r="P162" i="2"/>
  <c r="J163" i="2"/>
  <c r="D164" i="2"/>
  <c r="L164" i="2"/>
  <c r="F165" i="2"/>
  <c r="N165" i="2"/>
  <c r="H166" i="2"/>
  <c r="P166" i="2"/>
  <c r="J167" i="2"/>
  <c r="D168" i="2"/>
  <c r="L168" i="2"/>
  <c r="F169" i="2"/>
  <c r="N169" i="2"/>
  <c r="H170" i="2"/>
  <c r="P170" i="2"/>
  <c r="J171" i="2"/>
  <c r="D172" i="2"/>
  <c r="L172" i="2"/>
  <c r="F173" i="2"/>
  <c r="N173" i="2"/>
  <c r="H174" i="2"/>
  <c r="P174" i="2"/>
  <c r="J175" i="2"/>
  <c r="D176" i="2"/>
  <c r="L176" i="2"/>
  <c r="F177" i="2"/>
  <c r="N177" i="2"/>
  <c r="H178" i="2"/>
  <c r="P178" i="2"/>
  <c r="J179" i="2"/>
  <c r="D180" i="2"/>
  <c r="L180" i="2"/>
  <c r="F181" i="2"/>
  <c r="N181" i="2"/>
  <c r="E89" i="2"/>
  <c r="J100" i="2"/>
  <c r="P102" i="2"/>
  <c r="F105" i="2"/>
  <c r="J107" i="2"/>
  <c r="N109" i="2"/>
  <c r="D112" i="2"/>
  <c r="H114" i="2"/>
  <c r="L116" i="2"/>
  <c r="P118" i="2"/>
  <c r="F121" i="2"/>
  <c r="J123" i="2"/>
  <c r="N125" i="2"/>
  <c r="D128" i="2"/>
  <c r="H130" i="2"/>
  <c r="L132" i="2"/>
  <c r="P134" i="2"/>
  <c r="F137" i="2"/>
  <c r="P138" i="2"/>
  <c r="BF30" i="6" s="1"/>
  <c r="D140" i="2"/>
  <c r="F141" i="2"/>
  <c r="H142" i="2"/>
  <c r="J143" i="2"/>
  <c r="L144" i="2"/>
  <c r="N145" i="2"/>
  <c r="P146" i="2"/>
  <c r="C148" i="2"/>
  <c r="N148" i="2"/>
  <c r="L149" i="2"/>
  <c r="H150" i="2"/>
  <c r="C151" i="2"/>
  <c r="L151" i="2"/>
  <c r="G152" i="2"/>
  <c r="C153" i="2"/>
  <c r="L153" i="2"/>
  <c r="G154" i="2"/>
  <c r="P154" i="2"/>
  <c r="K155" i="2"/>
  <c r="F156" i="2"/>
  <c r="O156" i="2"/>
  <c r="K157" i="2"/>
  <c r="F158" i="2"/>
  <c r="O158" i="2"/>
  <c r="J159" i="2"/>
  <c r="E160" i="2"/>
  <c r="M160" i="2"/>
  <c r="G161" i="2"/>
  <c r="O161" i="2"/>
  <c r="I162" i="2"/>
  <c r="C163" i="2"/>
  <c r="K163" i="2"/>
  <c r="E164" i="2"/>
  <c r="M164" i="2"/>
  <c r="G165" i="2"/>
  <c r="O165" i="2"/>
  <c r="I166" i="2"/>
  <c r="C167" i="2"/>
  <c r="K167" i="2"/>
  <c r="E168" i="2"/>
  <c r="M168" i="2"/>
  <c r="G169" i="2"/>
  <c r="O169" i="2"/>
  <c r="I170" i="2"/>
  <c r="C171" i="2"/>
  <c r="K171" i="2"/>
  <c r="E172" i="2"/>
  <c r="M172" i="2"/>
  <c r="G173" i="2"/>
  <c r="O173" i="2"/>
  <c r="I174" i="2"/>
  <c r="C175" i="2"/>
  <c r="K175" i="2"/>
  <c r="E176" i="2"/>
  <c r="M176" i="2"/>
  <c r="G177" i="2"/>
  <c r="O177" i="2"/>
  <c r="I178" i="2"/>
  <c r="C179" i="2"/>
  <c r="K179" i="2"/>
  <c r="E180" i="2"/>
  <c r="M180" i="2"/>
  <c r="G181" i="2"/>
  <c r="O181" i="2"/>
  <c r="E65" i="2"/>
  <c r="J90" i="2"/>
  <c r="N100" i="2"/>
  <c r="E103" i="2"/>
  <c r="I105" i="2"/>
  <c r="M107" i="2"/>
  <c r="C110" i="2"/>
  <c r="G112" i="2"/>
  <c r="K114" i="2"/>
  <c r="AY22" i="6" s="1"/>
  <c r="O116" i="2"/>
  <c r="E119" i="2"/>
  <c r="I121" i="2"/>
  <c r="AV24" i="6" s="1"/>
  <c r="M123" i="2"/>
  <c r="C126" i="2"/>
  <c r="G128" i="2"/>
  <c r="K130" i="2"/>
  <c r="O132" i="2"/>
  <c r="E135" i="2"/>
  <c r="I137" i="2"/>
  <c r="D139" i="2"/>
  <c r="F140" i="2"/>
  <c r="H141" i="2"/>
  <c r="J142" i="2"/>
  <c r="L143" i="2"/>
  <c r="N144" i="2"/>
  <c r="P145" i="2"/>
  <c r="D147" i="2"/>
  <c r="D148" i="2"/>
  <c r="O148" i="2"/>
  <c r="M149" i="2"/>
  <c r="I150" i="2"/>
  <c r="D151" i="2"/>
  <c r="M151" i="2"/>
  <c r="I152" i="2"/>
  <c r="D153" i="2"/>
  <c r="M153" i="2"/>
  <c r="H154" i="2"/>
  <c r="C155" i="2"/>
  <c r="L155" i="2"/>
  <c r="G156" i="2"/>
  <c r="C157" i="2"/>
  <c r="AN35" i="6" s="1"/>
  <c r="L157" i="2"/>
  <c r="G158" i="2"/>
  <c r="P158" i="2"/>
  <c r="K159" i="2"/>
  <c r="F160" i="2"/>
  <c r="N160" i="2"/>
  <c r="H161" i="2"/>
  <c r="P161" i="2"/>
  <c r="J162" i="2"/>
  <c r="D163" i="2"/>
  <c r="L163" i="2"/>
  <c r="F164" i="2"/>
  <c r="N164" i="2"/>
  <c r="H165" i="2"/>
  <c r="P165" i="2"/>
  <c r="J166" i="2"/>
  <c r="D167" i="2"/>
  <c r="L167" i="2"/>
  <c r="F168" i="2"/>
  <c r="N168" i="2"/>
  <c r="H169" i="2"/>
  <c r="P169" i="2"/>
  <c r="J170" i="2"/>
  <c r="D171" i="2"/>
  <c r="AO41" i="6" s="1"/>
  <c r="L171" i="2"/>
  <c r="F172" i="2"/>
  <c r="N172" i="2"/>
  <c r="H173" i="2"/>
  <c r="P173" i="2"/>
  <c r="J174" i="2"/>
  <c r="D175" i="2"/>
  <c r="L175" i="2"/>
  <c r="F176" i="2"/>
  <c r="N176" i="2"/>
  <c r="H177" i="2"/>
  <c r="P177" i="2"/>
  <c r="J178" i="2"/>
  <c r="D179" i="2"/>
  <c r="L179" i="2"/>
  <c r="F180" i="2"/>
  <c r="N180" i="2"/>
  <c r="H181" i="2"/>
  <c r="P181" i="2"/>
  <c r="J182" i="2"/>
  <c r="M69" i="2"/>
  <c r="E92" i="2"/>
  <c r="E101" i="2"/>
  <c r="J103" i="2"/>
  <c r="N105" i="2"/>
  <c r="D108" i="2"/>
  <c r="H110" i="2"/>
  <c r="L112" i="2"/>
  <c r="P114" i="2"/>
  <c r="BF22" i="6" s="1"/>
  <c r="F117" i="2"/>
  <c r="J119" i="2"/>
  <c r="N121" i="2"/>
  <c r="BC24" i="6" s="1"/>
  <c r="D124" i="2"/>
  <c r="H126" i="2"/>
  <c r="L128" i="2"/>
  <c r="P130" i="2"/>
  <c r="F133" i="2"/>
  <c r="J135" i="2"/>
  <c r="N137" i="2"/>
  <c r="E139" i="2"/>
  <c r="G140" i="2"/>
  <c r="I141" i="2"/>
  <c r="K142" i="2"/>
  <c r="M143" i="2"/>
  <c r="O144" i="2"/>
  <c r="C146" i="2"/>
  <c r="E147" i="2"/>
  <c r="F148" i="2"/>
  <c r="D149" i="2"/>
  <c r="N149" i="2"/>
  <c r="J150" i="2"/>
  <c r="E151" i="2"/>
  <c r="O151" i="2"/>
  <c r="J152" i="2"/>
  <c r="E153" i="2"/>
  <c r="N153" i="2"/>
  <c r="I154" i="2"/>
  <c r="D155" i="2"/>
  <c r="M155" i="2"/>
  <c r="I156" i="2"/>
  <c r="D157" i="2"/>
  <c r="AO35" i="6" s="1"/>
  <c r="M157" i="2"/>
  <c r="H158" i="2"/>
  <c r="C159" i="2"/>
  <c r="L159" i="2"/>
  <c r="G160" i="2"/>
  <c r="O160" i="2"/>
  <c r="I161" i="2"/>
  <c r="C162" i="2"/>
  <c r="K162" i="2"/>
  <c r="E163" i="2"/>
  <c r="M163" i="2"/>
  <c r="G164" i="2"/>
  <c r="O164" i="2"/>
  <c r="I165" i="2"/>
  <c r="C166" i="2"/>
  <c r="K166" i="2"/>
  <c r="E167" i="2"/>
  <c r="M167" i="2"/>
  <c r="G168" i="2"/>
  <c r="O168" i="2"/>
  <c r="I169" i="2"/>
  <c r="C170" i="2"/>
  <c r="K170" i="2"/>
  <c r="E171" i="2"/>
  <c r="AQ41" i="6" s="1"/>
  <c r="M171" i="2"/>
  <c r="G172" i="2"/>
  <c r="O172" i="2"/>
  <c r="I173" i="2"/>
  <c r="C174" i="2"/>
  <c r="K174" i="2"/>
  <c r="E175" i="2"/>
  <c r="M175" i="2"/>
  <c r="G176" i="2"/>
  <c r="O176" i="2"/>
  <c r="I177" i="2"/>
  <c r="C178" i="2"/>
  <c r="K178" i="2"/>
  <c r="E179" i="2"/>
  <c r="M179" i="2"/>
  <c r="G180" i="2"/>
  <c r="O180" i="2"/>
  <c r="I181" i="2"/>
  <c r="C182" i="2"/>
  <c r="K182" i="2"/>
  <c r="E183" i="2"/>
  <c r="M183" i="2"/>
  <c r="G184" i="2"/>
  <c r="O184" i="2"/>
  <c r="I185" i="2"/>
  <c r="C186" i="2"/>
  <c r="K186" i="2"/>
  <c r="E187" i="2"/>
  <c r="M187" i="2"/>
  <c r="G188" i="2"/>
  <c r="O188" i="2"/>
  <c r="I189" i="2"/>
  <c r="C190" i="2"/>
  <c r="K190" i="2"/>
  <c r="E191" i="2"/>
  <c r="M191" i="2"/>
  <c r="G192" i="2"/>
  <c r="O192" i="2"/>
  <c r="G74" i="2"/>
  <c r="M93" i="2"/>
  <c r="I101" i="2"/>
  <c r="M103" i="2"/>
  <c r="C106" i="2"/>
  <c r="G108" i="2"/>
  <c r="K110" i="2"/>
  <c r="O112" i="2"/>
  <c r="E115" i="2"/>
  <c r="I117" i="2"/>
  <c r="M119" i="2"/>
  <c r="C122" i="2"/>
  <c r="G124" i="2"/>
  <c r="K126" i="2"/>
  <c r="O128" i="2"/>
  <c r="BE27" i="6" s="1"/>
  <c r="E131" i="2"/>
  <c r="I133" i="2"/>
  <c r="M135" i="2"/>
  <c r="P137" i="2"/>
  <c r="I139" i="2"/>
  <c r="K140" i="2"/>
  <c r="M141" i="2"/>
  <c r="O142" i="2"/>
  <c r="C144" i="2"/>
  <c r="E145" i="2"/>
  <c r="G146" i="2"/>
  <c r="I147" i="2"/>
  <c r="G148" i="2"/>
  <c r="E149" i="2"/>
  <c r="O149" i="2"/>
  <c r="K150" i="2"/>
  <c r="G151" i="2"/>
  <c r="P151" i="2"/>
  <c r="K152" i="2"/>
  <c r="F153" i="2"/>
  <c r="O153" i="2"/>
  <c r="J154" i="2"/>
  <c r="E155" i="2"/>
  <c r="O155" i="2"/>
  <c r="J156" i="2"/>
  <c r="E157" i="2"/>
  <c r="N157" i="2"/>
  <c r="BC35" i="6" s="1"/>
  <c r="I158" i="2"/>
  <c r="D159" i="2"/>
  <c r="M159" i="2"/>
  <c r="H160" i="2"/>
  <c r="P160" i="2"/>
  <c r="J161" i="2"/>
  <c r="D162" i="2"/>
  <c r="L162" i="2"/>
  <c r="F163" i="2"/>
  <c r="N163" i="2"/>
  <c r="H164" i="2"/>
  <c r="P164" i="2"/>
  <c r="J165" i="2"/>
  <c r="D166" i="2"/>
  <c r="L166" i="2"/>
  <c r="F167" i="2"/>
  <c r="N167" i="2"/>
  <c r="H168" i="2"/>
  <c r="P168" i="2"/>
  <c r="J169" i="2"/>
  <c r="D170" i="2"/>
  <c r="L170" i="2"/>
  <c r="F171" i="2"/>
  <c r="N171" i="2"/>
  <c r="BC41" i="6" s="1"/>
  <c r="H172" i="2"/>
  <c r="P172" i="2"/>
  <c r="J173" i="2"/>
  <c r="D174" i="2"/>
  <c r="L174" i="2"/>
  <c r="F175" i="2"/>
  <c r="N175" i="2"/>
  <c r="H176" i="2"/>
  <c r="P176" i="2"/>
  <c r="J177" i="2"/>
  <c r="D178" i="2"/>
  <c r="L178" i="2"/>
  <c r="F179" i="2"/>
  <c r="N179" i="2"/>
  <c r="H180" i="2"/>
  <c r="P180" i="2"/>
  <c r="J181" i="2"/>
  <c r="O78" i="2"/>
  <c r="D95" i="2"/>
  <c r="N101" i="2"/>
  <c r="D104" i="2"/>
  <c r="H106" i="2"/>
  <c r="L108" i="2"/>
  <c r="P110" i="2"/>
  <c r="F113" i="2"/>
  <c r="J115" i="2"/>
  <c r="N117" i="2"/>
  <c r="D120" i="2"/>
  <c r="H122" i="2"/>
  <c r="L124" i="2"/>
  <c r="P126" i="2"/>
  <c r="F129" i="2"/>
  <c r="J131" i="2"/>
  <c r="N133" i="2"/>
  <c r="D136" i="2"/>
  <c r="C138" i="2"/>
  <c r="AN30" i="6" s="1"/>
  <c r="J139" i="2"/>
  <c r="L140" i="2"/>
  <c r="N141" i="2"/>
  <c r="P142" i="2"/>
  <c r="D144" i="2"/>
  <c r="F145" i="2"/>
  <c r="H146" i="2"/>
  <c r="AT32" i="6" s="1"/>
  <c r="J147" i="2"/>
  <c r="J148" i="2"/>
  <c r="F149" i="2"/>
  <c r="P149" i="2"/>
  <c r="M150" i="2"/>
  <c r="H151" i="2"/>
  <c r="C152" i="2"/>
  <c r="L152" i="2"/>
  <c r="G153" i="2"/>
  <c r="P153" i="2"/>
  <c r="K154" i="2"/>
  <c r="G155" i="2"/>
  <c r="P155" i="2"/>
  <c r="K156" i="2"/>
  <c r="F157" i="2"/>
  <c r="O157" i="2"/>
  <c r="BE35" i="6" s="1"/>
  <c r="J158" i="2"/>
  <c r="E159" i="2"/>
  <c r="O159" i="2"/>
  <c r="BE36" i="6" s="1"/>
  <c r="I160" i="2"/>
  <c r="C161" i="2"/>
  <c r="K161" i="2"/>
  <c r="E162" i="2"/>
  <c r="M162" i="2"/>
  <c r="G163" i="2"/>
  <c r="O163" i="2"/>
  <c r="I164" i="2"/>
  <c r="C165" i="2"/>
  <c r="K165" i="2"/>
  <c r="E166" i="2"/>
  <c r="M166" i="2"/>
  <c r="G167" i="2"/>
  <c r="O167" i="2"/>
  <c r="I168" i="2"/>
  <c r="C169" i="2"/>
  <c r="K169" i="2"/>
  <c r="E170" i="2"/>
  <c r="M170" i="2"/>
  <c r="G171" i="2"/>
  <c r="AS41" i="6" s="1"/>
  <c r="O171" i="2"/>
  <c r="BE41" i="6" s="1"/>
  <c r="I172" i="2"/>
  <c r="C173" i="2"/>
  <c r="K173" i="2"/>
  <c r="E174" i="2"/>
  <c r="M174" i="2"/>
  <c r="G175" i="2"/>
  <c r="O175" i="2"/>
  <c r="I176" i="2"/>
  <c r="C177" i="2"/>
  <c r="K177" i="2"/>
  <c r="E178" i="2"/>
  <c r="M178" i="2"/>
  <c r="G179" i="2"/>
  <c r="O179" i="2"/>
  <c r="I180" i="2"/>
  <c r="C181" i="2"/>
  <c r="I83" i="2"/>
  <c r="M96" i="2"/>
  <c r="C102" i="2"/>
  <c r="G104" i="2"/>
  <c r="K106" i="2"/>
  <c r="O108" i="2"/>
  <c r="E111" i="2"/>
  <c r="I113" i="2"/>
  <c r="M115" i="2"/>
  <c r="C118" i="2"/>
  <c r="G120" i="2"/>
  <c r="K122" i="2"/>
  <c r="O124" i="2"/>
  <c r="E127" i="2"/>
  <c r="I129" i="2"/>
  <c r="M131" i="2"/>
  <c r="BB28" i="6" s="1"/>
  <c r="C134" i="2"/>
  <c r="G136" i="2"/>
  <c r="H138" i="2"/>
  <c r="L139" i="2"/>
  <c r="N140" i="2"/>
  <c r="BC31" i="6" s="1"/>
  <c r="P141" i="2"/>
  <c r="D143" i="2"/>
  <c r="F144" i="2"/>
  <c r="H145" i="2"/>
  <c r="J146" i="2"/>
  <c r="L147" i="2"/>
  <c r="K148" i="2"/>
  <c r="P85" i="2"/>
  <c r="D116" i="2"/>
  <c r="H134" i="2"/>
  <c r="I145" i="2"/>
  <c r="N150" i="2"/>
  <c r="H153" i="2"/>
  <c r="C156" i="2"/>
  <c r="K158" i="2"/>
  <c r="D161" i="2"/>
  <c r="H163" i="2"/>
  <c r="L165" i="2"/>
  <c r="P167" i="2"/>
  <c r="F170" i="2"/>
  <c r="J172" i="2"/>
  <c r="N174" i="2"/>
  <c r="D177" i="2"/>
  <c r="H179" i="2"/>
  <c r="K181" i="2"/>
  <c r="I182" i="2"/>
  <c r="F183" i="2"/>
  <c r="O183" i="2"/>
  <c r="J184" i="2"/>
  <c r="E185" i="2"/>
  <c r="N185" i="2"/>
  <c r="I186" i="2"/>
  <c r="D187" i="2"/>
  <c r="N187" i="2"/>
  <c r="I188" i="2"/>
  <c r="D189" i="2"/>
  <c r="M189" i="2"/>
  <c r="H190" i="2"/>
  <c r="C191" i="2"/>
  <c r="L191" i="2"/>
  <c r="H192" i="2"/>
  <c r="C193" i="2"/>
  <c r="K193" i="2"/>
  <c r="E194" i="2"/>
  <c r="M194" i="2"/>
  <c r="G195" i="2"/>
  <c r="O195" i="2"/>
  <c r="I196" i="2"/>
  <c r="C197" i="2"/>
  <c r="K197" i="2"/>
  <c r="E198" i="2"/>
  <c r="M198" i="2"/>
  <c r="G199" i="2"/>
  <c r="O199" i="2"/>
  <c r="I200" i="2"/>
  <c r="C201" i="2"/>
  <c r="K201" i="2"/>
  <c r="E202" i="2"/>
  <c r="M202" i="2"/>
  <c r="G203" i="2"/>
  <c r="O203" i="2"/>
  <c r="I204" i="2"/>
  <c r="C205" i="2"/>
  <c r="K205" i="2"/>
  <c r="E206" i="2"/>
  <c r="M206" i="2"/>
  <c r="G207" i="2"/>
  <c r="O207" i="2"/>
  <c r="I208" i="2"/>
  <c r="C209" i="2"/>
  <c r="K209" i="2"/>
  <c r="E210" i="2"/>
  <c r="M210" i="2"/>
  <c r="G211" i="2"/>
  <c r="O211" i="2"/>
  <c r="I212" i="2"/>
  <c r="C213" i="2"/>
  <c r="K213" i="2"/>
  <c r="E214" i="2"/>
  <c r="M214" i="2"/>
  <c r="G215" i="2"/>
  <c r="O215" i="2"/>
  <c r="I216" i="2"/>
  <c r="C217" i="2"/>
  <c r="K217" i="2"/>
  <c r="E218" i="2"/>
  <c r="M218" i="2"/>
  <c r="G219" i="2"/>
  <c r="O219" i="2"/>
  <c r="I220" i="2"/>
  <c r="C221" i="2"/>
  <c r="K221" i="2"/>
  <c r="E222" i="2"/>
  <c r="M222" i="2"/>
  <c r="G98" i="2"/>
  <c r="H118" i="2"/>
  <c r="L136" i="2"/>
  <c r="K146" i="2"/>
  <c r="O150" i="2"/>
  <c r="I153" i="2"/>
  <c r="D156" i="2"/>
  <c r="M158" i="2"/>
  <c r="E161" i="2"/>
  <c r="I163" i="2"/>
  <c r="M165" i="2"/>
  <c r="C168" i="2"/>
  <c r="G170" i="2"/>
  <c r="K172" i="2"/>
  <c r="O174" i="2"/>
  <c r="E177" i="2"/>
  <c r="I179" i="2"/>
  <c r="L181" i="2"/>
  <c r="L182" i="2"/>
  <c r="G183" i="2"/>
  <c r="P183" i="2"/>
  <c r="K184" i="2"/>
  <c r="F185" i="2"/>
  <c r="O185" i="2"/>
  <c r="J186" i="2"/>
  <c r="F187" i="2"/>
  <c r="O187" i="2"/>
  <c r="J188" i="2"/>
  <c r="E189" i="2"/>
  <c r="N189" i="2"/>
  <c r="I190" i="2"/>
  <c r="D191" i="2"/>
  <c r="N191" i="2"/>
  <c r="I192" i="2"/>
  <c r="D193" i="2"/>
  <c r="L193" i="2"/>
  <c r="F194" i="2"/>
  <c r="N194" i="2"/>
  <c r="H195" i="2"/>
  <c r="P195" i="2"/>
  <c r="J196" i="2"/>
  <c r="D197" i="2"/>
  <c r="L197" i="2"/>
  <c r="F198" i="2"/>
  <c r="N198" i="2"/>
  <c r="H199" i="2"/>
  <c r="P199" i="2"/>
  <c r="J200" i="2"/>
  <c r="D201" i="2"/>
  <c r="L201" i="2"/>
  <c r="F202" i="2"/>
  <c r="N202" i="2"/>
  <c r="H203" i="2"/>
  <c r="P203" i="2"/>
  <c r="J204" i="2"/>
  <c r="D205" i="2"/>
  <c r="L205" i="2"/>
  <c r="F206" i="2"/>
  <c r="N206" i="2"/>
  <c r="H207" i="2"/>
  <c r="P207" i="2"/>
  <c r="J208" i="2"/>
  <c r="D209" i="2"/>
  <c r="L209" i="2"/>
  <c r="F210" i="2"/>
  <c r="N210" i="2"/>
  <c r="H211" i="2"/>
  <c r="P211" i="2"/>
  <c r="J212" i="2"/>
  <c r="D213" i="2"/>
  <c r="L213" i="2"/>
  <c r="F214" i="2"/>
  <c r="N214" i="2"/>
  <c r="H215" i="2"/>
  <c r="P215" i="2"/>
  <c r="J216" i="2"/>
  <c r="D217" i="2"/>
  <c r="L217" i="2"/>
  <c r="F218" i="2"/>
  <c r="N218" i="2"/>
  <c r="H219" i="2"/>
  <c r="P219" i="2"/>
  <c r="J220" i="2"/>
  <c r="D221" i="2"/>
  <c r="L221" i="2"/>
  <c r="H102" i="2"/>
  <c r="L120" i="2"/>
  <c r="J138" i="2"/>
  <c r="M147" i="2"/>
  <c r="I151" i="2"/>
  <c r="C154" i="2"/>
  <c r="L156" i="2"/>
  <c r="G159" i="2"/>
  <c r="AS36" i="6" s="1"/>
  <c r="L161" i="2"/>
  <c r="P163" i="2"/>
  <c r="F166" i="2"/>
  <c r="J168" i="2"/>
  <c r="N170" i="2"/>
  <c r="D173" i="2"/>
  <c r="H175" i="2"/>
  <c r="L177" i="2"/>
  <c r="P179" i="2"/>
  <c r="M181" i="2"/>
  <c r="M182" i="2"/>
  <c r="H183" i="2"/>
  <c r="C184" i="2"/>
  <c r="L184" i="2"/>
  <c r="G185" i="2"/>
  <c r="P185" i="2"/>
  <c r="L186" i="2"/>
  <c r="G187" i="2"/>
  <c r="P187" i="2"/>
  <c r="K188" i="2"/>
  <c r="F189" i="2"/>
  <c r="O189" i="2"/>
  <c r="J190" i="2"/>
  <c r="F191" i="2"/>
  <c r="O191" i="2"/>
  <c r="J192" i="2"/>
  <c r="E193" i="2"/>
  <c r="M193" i="2"/>
  <c r="G194" i="2"/>
  <c r="O194" i="2"/>
  <c r="I195" i="2"/>
  <c r="C196" i="2"/>
  <c r="K196" i="2"/>
  <c r="E197" i="2"/>
  <c r="M197" i="2"/>
  <c r="G198" i="2"/>
  <c r="O198" i="2"/>
  <c r="I199" i="2"/>
  <c r="C200" i="2"/>
  <c r="K200" i="2"/>
  <c r="E201" i="2"/>
  <c r="M201" i="2"/>
  <c r="G202" i="2"/>
  <c r="O202" i="2"/>
  <c r="I203" i="2"/>
  <c r="C204" i="2"/>
  <c r="K204" i="2"/>
  <c r="E205" i="2"/>
  <c r="M205" i="2"/>
  <c r="G206" i="2"/>
  <c r="O206" i="2"/>
  <c r="I207" i="2"/>
  <c r="C208" i="2"/>
  <c r="K208" i="2"/>
  <c r="E209" i="2"/>
  <c r="M209" i="2"/>
  <c r="G210" i="2"/>
  <c r="O210" i="2"/>
  <c r="I211" i="2"/>
  <c r="C212" i="2"/>
  <c r="K212" i="2"/>
  <c r="E213" i="2"/>
  <c r="M213" i="2"/>
  <c r="G214" i="2"/>
  <c r="O214" i="2"/>
  <c r="I215" i="2"/>
  <c r="C216" i="2"/>
  <c r="K216" i="2"/>
  <c r="E217" i="2"/>
  <c r="M217" i="2"/>
  <c r="G218" i="2"/>
  <c r="O218" i="2"/>
  <c r="I219" i="2"/>
  <c r="C220" i="2"/>
  <c r="K220" i="2"/>
  <c r="E221" i="2"/>
  <c r="M221" i="2"/>
  <c r="G222" i="2"/>
  <c r="L104" i="2"/>
  <c r="P122" i="2"/>
  <c r="M139" i="2"/>
  <c r="L148" i="2"/>
  <c r="J151" i="2"/>
  <c r="E154" i="2"/>
  <c r="M156" i="2"/>
  <c r="H159" i="2"/>
  <c r="M161" i="2"/>
  <c r="C164" i="2"/>
  <c r="G166" i="2"/>
  <c r="K168" i="2"/>
  <c r="O170" i="2"/>
  <c r="E173" i="2"/>
  <c r="I175" i="2"/>
  <c r="M177" i="2"/>
  <c r="C180" i="2"/>
  <c r="D182" i="2"/>
  <c r="N182" i="2"/>
  <c r="I183" i="2"/>
  <c r="D184" i="2"/>
  <c r="M184" i="2"/>
  <c r="H185" i="2"/>
  <c r="D186" i="2"/>
  <c r="M186" i="2"/>
  <c r="H187" i="2"/>
  <c r="C188" i="2"/>
  <c r="L188" i="2"/>
  <c r="G189" i="2"/>
  <c r="P189" i="2"/>
  <c r="L190" i="2"/>
  <c r="G191" i="2"/>
  <c r="P191" i="2"/>
  <c r="K192" i="2"/>
  <c r="F193" i="2"/>
  <c r="N193" i="2"/>
  <c r="H194" i="2"/>
  <c r="P194" i="2"/>
  <c r="J195" i="2"/>
  <c r="D196" i="2"/>
  <c r="L196" i="2"/>
  <c r="F197" i="2"/>
  <c r="N197" i="2"/>
  <c r="H198" i="2"/>
  <c r="P198" i="2"/>
  <c r="J199" i="2"/>
  <c r="D200" i="2"/>
  <c r="L200" i="2"/>
  <c r="F201" i="2"/>
  <c r="N201" i="2"/>
  <c r="H202" i="2"/>
  <c r="P202" i="2"/>
  <c r="J203" i="2"/>
  <c r="D204" i="2"/>
  <c r="L204" i="2"/>
  <c r="F205" i="2"/>
  <c r="N205" i="2"/>
  <c r="H206" i="2"/>
  <c r="P206" i="2"/>
  <c r="J207" i="2"/>
  <c r="D208" i="2"/>
  <c r="L208" i="2"/>
  <c r="F209" i="2"/>
  <c r="N209" i="2"/>
  <c r="H210" i="2"/>
  <c r="P210" i="2"/>
  <c r="J211" i="2"/>
  <c r="D212" i="2"/>
  <c r="L212" i="2"/>
  <c r="F213" i="2"/>
  <c r="N213" i="2"/>
  <c r="H214" i="2"/>
  <c r="P214" i="2"/>
  <c r="J215" i="2"/>
  <c r="D216" i="2"/>
  <c r="L216" i="2"/>
  <c r="F217" i="2"/>
  <c r="N217" i="2"/>
  <c r="H218" i="2"/>
  <c r="P218" i="2"/>
  <c r="J219" i="2"/>
  <c r="D220" i="2"/>
  <c r="L220" i="2"/>
  <c r="F221" i="2"/>
  <c r="N221" i="2"/>
  <c r="H222" i="2"/>
  <c r="P222" i="2"/>
  <c r="P106" i="2"/>
  <c r="F125" i="2"/>
  <c r="O140" i="2"/>
  <c r="G149" i="2"/>
  <c r="D152" i="2"/>
  <c r="M154" i="2"/>
  <c r="G157" i="2"/>
  <c r="AS35" i="6" s="1"/>
  <c r="P159" i="2"/>
  <c r="BF36" i="6" s="1"/>
  <c r="F162" i="2"/>
  <c r="J164" i="2"/>
  <c r="N166" i="2"/>
  <c r="D169" i="2"/>
  <c r="H171" i="2"/>
  <c r="L173" i="2"/>
  <c r="P175" i="2"/>
  <c r="F178" i="2"/>
  <c r="J180" i="2"/>
  <c r="E182" i="2"/>
  <c r="O182" i="2"/>
  <c r="J183" i="2"/>
  <c r="E184" i="2"/>
  <c r="N184" i="2"/>
  <c r="J185" i="2"/>
  <c r="E186" i="2"/>
  <c r="AQ47" i="6" s="1"/>
  <c r="N186" i="2"/>
  <c r="I187" i="2"/>
  <c r="D188" i="2"/>
  <c r="M188" i="2"/>
  <c r="H189" i="2"/>
  <c r="D190" i="2"/>
  <c r="M190" i="2"/>
  <c r="H191" i="2"/>
  <c r="C192" i="2"/>
  <c r="L192" i="2"/>
  <c r="G193" i="2"/>
  <c r="O193" i="2"/>
  <c r="I194" i="2"/>
  <c r="C195" i="2"/>
  <c r="K195" i="2"/>
  <c r="E196" i="2"/>
  <c r="M196" i="2"/>
  <c r="G197" i="2"/>
  <c r="O197" i="2"/>
  <c r="I198" i="2"/>
  <c r="C199" i="2"/>
  <c r="K199" i="2"/>
  <c r="E200" i="2"/>
  <c r="M200" i="2"/>
  <c r="G201" i="2"/>
  <c r="O201" i="2"/>
  <c r="I202" i="2"/>
  <c r="C203" i="2"/>
  <c r="K203" i="2"/>
  <c r="E204" i="2"/>
  <c r="M204" i="2"/>
  <c r="G205" i="2"/>
  <c r="O205" i="2"/>
  <c r="I206" i="2"/>
  <c r="C207" i="2"/>
  <c r="K207" i="2"/>
  <c r="E208" i="2"/>
  <c r="M208" i="2"/>
  <c r="G209" i="2"/>
  <c r="O209" i="2"/>
  <c r="I210" i="2"/>
  <c r="C211" i="2"/>
  <c r="K211" i="2"/>
  <c r="E212" i="2"/>
  <c r="M212" i="2"/>
  <c r="G213" i="2"/>
  <c r="O213" i="2"/>
  <c r="I214" i="2"/>
  <c r="C215" i="2"/>
  <c r="K215" i="2"/>
  <c r="E216" i="2"/>
  <c r="M216" i="2"/>
  <c r="G217" i="2"/>
  <c r="O217" i="2"/>
  <c r="I218" i="2"/>
  <c r="C219" i="2"/>
  <c r="K219" i="2"/>
  <c r="E220" i="2"/>
  <c r="M220" i="2"/>
  <c r="G221" i="2"/>
  <c r="O221" i="2"/>
  <c r="I222" i="2"/>
  <c r="F109" i="2"/>
  <c r="J127" i="2"/>
  <c r="C142" i="2"/>
  <c r="H149" i="2"/>
  <c r="E152" i="2"/>
  <c r="N154" i="2"/>
  <c r="BC34" i="6" s="1"/>
  <c r="H157" i="2"/>
  <c r="C160" i="2"/>
  <c r="G162" i="2"/>
  <c r="K164" i="2"/>
  <c r="O166" i="2"/>
  <c r="E169" i="2"/>
  <c r="I171" i="2"/>
  <c r="AV41" i="6" s="1"/>
  <c r="M173" i="2"/>
  <c r="C176" i="2"/>
  <c r="G178" i="2"/>
  <c r="K180" i="2"/>
  <c r="F182" i="2"/>
  <c r="P182" i="2"/>
  <c r="K183" i="2"/>
  <c r="F184" i="2"/>
  <c r="P184" i="2"/>
  <c r="K185" i="2"/>
  <c r="F186" i="2"/>
  <c r="O186" i="2"/>
  <c r="J187" i="2"/>
  <c r="E188" i="2"/>
  <c r="N188" i="2"/>
  <c r="J189" i="2"/>
  <c r="E190" i="2"/>
  <c r="N190" i="2"/>
  <c r="I191" i="2"/>
  <c r="D192" i="2"/>
  <c r="M192" i="2"/>
  <c r="BB49" i="6" s="1"/>
  <c r="H193" i="2"/>
  <c r="P193" i="2"/>
  <c r="J194" i="2"/>
  <c r="D195" i="2"/>
  <c r="L195" i="2"/>
  <c r="F196" i="2"/>
  <c r="N196" i="2"/>
  <c r="H197" i="2"/>
  <c r="P197" i="2"/>
  <c r="J198" i="2"/>
  <c r="D199" i="2"/>
  <c r="L199" i="2"/>
  <c r="F200" i="2"/>
  <c r="N200" i="2"/>
  <c r="H201" i="2"/>
  <c r="P201" i="2"/>
  <c r="J202" i="2"/>
  <c r="D203" i="2"/>
  <c r="L203" i="2"/>
  <c r="F204" i="2"/>
  <c r="N204" i="2"/>
  <c r="H205" i="2"/>
  <c r="P205" i="2"/>
  <c r="J206" i="2"/>
  <c r="D207" i="2"/>
  <c r="L207" i="2"/>
  <c r="F208" i="2"/>
  <c r="N208" i="2"/>
  <c r="H209" i="2"/>
  <c r="P209" i="2"/>
  <c r="J210" i="2"/>
  <c r="D211" i="2"/>
  <c r="L211" i="2"/>
  <c r="F212" i="2"/>
  <c r="N212" i="2"/>
  <c r="H213" i="2"/>
  <c r="P213" i="2"/>
  <c r="J214" i="2"/>
  <c r="D215" i="2"/>
  <c r="L215" i="2"/>
  <c r="F216" i="2"/>
  <c r="N216" i="2"/>
  <c r="H217" i="2"/>
  <c r="P217" i="2"/>
  <c r="J218" i="2"/>
  <c r="D219" i="2"/>
  <c r="L219" i="2"/>
  <c r="F220" i="2"/>
  <c r="J111" i="2"/>
  <c r="N129" i="2"/>
  <c r="E143" i="2"/>
  <c r="C150" i="2"/>
  <c r="M152" i="2"/>
  <c r="H155" i="2"/>
  <c r="P157" i="2"/>
  <c r="J160" i="2"/>
  <c r="N162" i="2"/>
  <c r="D165" i="2"/>
  <c r="H167" i="2"/>
  <c r="L169" i="2"/>
  <c r="P171" i="2"/>
  <c r="BF41" i="6" s="1"/>
  <c r="F174" i="2"/>
  <c r="J176" i="2"/>
  <c r="N178" i="2"/>
  <c r="D181" i="2"/>
  <c r="G182" i="2"/>
  <c r="C183" i="2"/>
  <c r="L183" i="2"/>
  <c r="H184" i="2"/>
  <c r="C185" i="2"/>
  <c r="L185" i="2"/>
  <c r="G186" i="2"/>
  <c r="AS47" i="6" s="1"/>
  <c r="P186" i="2"/>
  <c r="K187" i="2"/>
  <c r="F188" i="2"/>
  <c r="P188" i="2"/>
  <c r="K189" i="2"/>
  <c r="AY48" i="6" s="1"/>
  <c r="F190" i="2"/>
  <c r="O190" i="2"/>
  <c r="J191" i="2"/>
  <c r="E192" i="2"/>
  <c r="N192" i="2"/>
  <c r="I193" i="2"/>
  <c r="C194" i="2"/>
  <c r="K194" i="2"/>
  <c r="E195" i="2"/>
  <c r="M195" i="2"/>
  <c r="G196" i="2"/>
  <c r="O196" i="2"/>
  <c r="I197" i="2"/>
  <c r="C198" i="2"/>
  <c r="K198" i="2"/>
  <c r="E199" i="2"/>
  <c r="M199" i="2"/>
  <c r="G200" i="2"/>
  <c r="O200" i="2"/>
  <c r="I201" i="2"/>
  <c r="C202" i="2"/>
  <c r="K202" i="2"/>
  <c r="E203" i="2"/>
  <c r="M203" i="2"/>
  <c r="G204" i="2"/>
  <c r="O204" i="2"/>
  <c r="I205" i="2"/>
  <c r="C206" i="2"/>
  <c r="K206" i="2"/>
  <c r="E207" i="2"/>
  <c r="M207" i="2"/>
  <c r="G208" i="2"/>
  <c r="O208" i="2"/>
  <c r="I209" i="2"/>
  <c r="C210" i="2"/>
  <c r="K210" i="2"/>
  <c r="E211" i="2"/>
  <c r="M211" i="2"/>
  <c r="G212" i="2"/>
  <c r="O212" i="2"/>
  <c r="I213" i="2"/>
  <c r="C214" i="2"/>
  <c r="K214" i="2"/>
  <c r="E215" i="2"/>
  <c r="M215" i="2"/>
  <c r="G216" i="2"/>
  <c r="O216" i="2"/>
  <c r="I217" i="2"/>
  <c r="C218" i="2"/>
  <c r="K218" i="2"/>
  <c r="E219" i="2"/>
  <c r="M219" i="2"/>
  <c r="G220" i="2"/>
  <c r="Z166" i="7"/>
  <c r="Y134" i="7"/>
  <c r="Y124" i="7"/>
  <c r="Y114" i="7"/>
  <c r="Y102" i="7"/>
  <c r="AA69" i="7"/>
  <c r="AF157" i="7"/>
  <c r="AB130" i="7"/>
  <c r="J222" i="2"/>
  <c r="P220" i="2"/>
  <c r="J217" i="2"/>
  <c r="P212" i="2"/>
  <c r="H208" i="2"/>
  <c r="N203" i="2"/>
  <c r="F199" i="2"/>
  <c r="L194" i="2"/>
  <c r="L189" i="2"/>
  <c r="I184" i="2"/>
  <c r="C172" i="2"/>
  <c r="N152" i="2"/>
  <c r="AG140" i="7"/>
  <c r="J221" i="2"/>
  <c r="P200" i="2"/>
  <c r="K160" i="2"/>
  <c r="Y166" i="7"/>
  <c r="Z158" i="7"/>
  <c r="Z150" i="7"/>
  <c r="Z142" i="7"/>
  <c r="Z132" i="7"/>
  <c r="Z122" i="7"/>
  <c r="X100" i="7"/>
  <c r="Z82" i="7"/>
  <c r="AA42" i="7"/>
  <c r="F12" i="2" s="1"/>
  <c r="AC157" i="7"/>
  <c r="AF124" i="7"/>
  <c r="F222" i="2"/>
  <c r="O220" i="2"/>
  <c r="P216" i="2"/>
  <c r="H212" i="2"/>
  <c r="N207" i="2"/>
  <c r="F203" i="2"/>
  <c r="L198" i="2"/>
  <c r="D194" i="2"/>
  <c r="C189" i="2"/>
  <c r="N183" i="2"/>
  <c r="M169" i="2"/>
  <c r="F150" i="2"/>
  <c r="L214" i="2"/>
  <c r="H186" i="2"/>
  <c r="X165" i="7"/>
  <c r="Y158" i="7"/>
  <c r="Y150" i="7"/>
  <c r="Y142" i="7"/>
  <c r="Y132" i="7"/>
  <c r="Y122" i="7"/>
  <c r="Y110" i="7"/>
  <c r="AA99" i="7"/>
  <c r="X82" i="7"/>
  <c r="X66" i="7"/>
  <c r="AA20" i="7"/>
  <c r="F29" i="2" s="1"/>
  <c r="AK146" i="7"/>
  <c r="AH123" i="7"/>
  <c r="D222" i="2"/>
  <c r="N220" i="2"/>
  <c r="H216" i="2"/>
  <c r="N211" i="2"/>
  <c r="F207" i="2"/>
  <c r="L202" i="2"/>
  <c r="D198" i="2"/>
  <c r="J193" i="2"/>
  <c r="H188" i="2"/>
  <c r="D183" i="2"/>
  <c r="I167" i="2"/>
  <c r="G144" i="2"/>
  <c r="F219" i="2"/>
  <c r="Z164" i="7"/>
  <c r="X157" i="7"/>
  <c r="X149" i="7"/>
  <c r="Z140" i="7"/>
  <c r="Z130" i="7"/>
  <c r="Z118" i="7"/>
  <c r="Z94" i="7"/>
  <c r="AC146" i="7"/>
  <c r="AJ114" i="7"/>
  <c r="C222" i="2"/>
  <c r="H220" i="2"/>
  <c r="N215" i="2"/>
  <c r="F211" i="2"/>
  <c r="L206" i="2"/>
  <c r="D202" i="2"/>
  <c r="J197" i="2"/>
  <c r="P192" i="2"/>
  <c r="L187" i="2"/>
  <c r="H182" i="2"/>
  <c r="E165" i="2"/>
  <c r="D132" i="2"/>
  <c r="Y164" i="7"/>
  <c r="Z156" i="7"/>
  <c r="Z148" i="7"/>
  <c r="Y140" i="7"/>
  <c r="Y130" i="7"/>
  <c r="Y118" i="7"/>
  <c r="X108" i="7"/>
  <c r="Y94" i="7"/>
  <c r="AA78" i="7"/>
  <c r="AA36" i="7"/>
  <c r="F32" i="2" s="1"/>
  <c r="AE141" i="7"/>
  <c r="C12" i="2"/>
  <c r="O222" i="2"/>
  <c r="P221" i="2"/>
  <c r="N219" i="2"/>
  <c r="F215" i="2"/>
  <c r="L210" i="2"/>
  <c r="D206" i="2"/>
  <c r="J201" i="2"/>
  <c r="P196" i="2"/>
  <c r="F192" i="2"/>
  <c r="C187" i="2"/>
  <c r="E181" i="2"/>
  <c r="O162" i="2"/>
  <c r="N113" i="2"/>
  <c r="Z25" i="8"/>
  <c r="AF65" i="8"/>
  <c r="X65" i="8"/>
  <c r="AE65" i="8"/>
  <c r="AD65" i="8"/>
  <c r="AC65" i="8"/>
  <c r="AK65" i="8"/>
  <c r="AB65" i="8"/>
  <c r="AJ65" i="8"/>
  <c r="AA65" i="8"/>
  <c r="AI65" i="8"/>
  <c r="Z65" i="8"/>
  <c r="AF100" i="8"/>
  <c r="X100" i="8"/>
  <c r="AK100" i="8"/>
  <c r="AB100" i="8"/>
  <c r="AI100" i="8"/>
  <c r="Z100" i="8"/>
  <c r="AH100" i="8"/>
  <c r="Y100" i="8"/>
  <c r="AJ100" i="8"/>
  <c r="AG100" i="8"/>
  <c r="AE100" i="8"/>
  <c r="AD100" i="8"/>
  <c r="AC100" i="8"/>
  <c r="AG131" i="8"/>
  <c r="Y131" i="8"/>
  <c r="AD131" i="8"/>
  <c r="AK131" i="8"/>
  <c r="AA131" i="8"/>
  <c r="AJ131" i="8"/>
  <c r="Z131" i="8"/>
  <c r="AI131" i="8"/>
  <c r="AF131" i="8"/>
  <c r="AH131" i="8"/>
  <c r="AE131" i="8"/>
  <c r="AC131" i="8"/>
  <c r="AB131" i="8"/>
  <c r="X131" i="8"/>
  <c r="AG25" i="8"/>
  <c r="Y25" i="8"/>
  <c r="AF25" i="8"/>
  <c r="X25" i="8"/>
  <c r="AD25" i="8"/>
  <c r="AJ25" i="8"/>
  <c r="AC24" i="8"/>
  <c r="AA25" i="8"/>
  <c r="Y65" i="8"/>
  <c r="AA100" i="8"/>
  <c r="AG5" i="8"/>
  <c r="Y5" i="8"/>
  <c r="AD5" i="8"/>
  <c r="AH5" i="8"/>
  <c r="AG7" i="8"/>
  <c r="Y7" i="8"/>
  <c r="AD7" i="8"/>
  <c r="AH7" i="8"/>
  <c r="AG9" i="8"/>
  <c r="Y9" i="8"/>
  <c r="AD9" i="8"/>
  <c r="AH9" i="8"/>
  <c r="AG11" i="8"/>
  <c r="Y11" i="8"/>
  <c r="AD11" i="8"/>
  <c r="AH11" i="8"/>
  <c r="AG13" i="8"/>
  <c r="Y13" i="8"/>
  <c r="AD13" i="8"/>
  <c r="AH13" i="8"/>
  <c r="AG15" i="8"/>
  <c r="Y15" i="8"/>
  <c r="AD15" i="8"/>
  <c r="AH15" i="8"/>
  <c r="AG17" i="8"/>
  <c r="Y17" i="8"/>
  <c r="AD17" i="8"/>
  <c r="AH17" i="8"/>
  <c r="AG19" i="8"/>
  <c r="Y19" i="8"/>
  <c r="AD19" i="8"/>
  <c r="AH19" i="8"/>
  <c r="AG21" i="8"/>
  <c r="Y21" i="8"/>
  <c r="AD21" i="8"/>
  <c r="AH21" i="8"/>
  <c r="AG23" i="8"/>
  <c r="Y23" i="8"/>
  <c r="AF23" i="8"/>
  <c r="AD23" i="8"/>
  <c r="AI23" i="8"/>
  <c r="AE24" i="8"/>
  <c r="AB25" i="8"/>
  <c r="AG65" i="8"/>
  <c r="AF92" i="8"/>
  <c r="X92" i="8"/>
  <c r="AK92" i="8"/>
  <c r="AB92" i="8"/>
  <c r="AH92" i="8"/>
  <c r="Y92" i="8"/>
  <c r="AG92" i="8"/>
  <c r="AE92" i="8"/>
  <c r="AD92" i="8"/>
  <c r="AC92" i="8"/>
  <c r="AA92" i="8"/>
  <c r="Z92" i="8"/>
  <c r="AF101" i="8"/>
  <c r="X101" i="8"/>
  <c r="AD101" i="8"/>
  <c r="AK101" i="8"/>
  <c r="AB101" i="8"/>
  <c r="AJ101" i="8"/>
  <c r="AA101" i="8"/>
  <c r="AI101" i="8"/>
  <c r="AH101" i="8"/>
  <c r="AG101" i="8"/>
  <c r="AE101" i="8"/>
  <c r="AC101" i="8"/>
  <c r="Z101" i="8"/>
  <c r="X5" i="8"/>
  <c r="AI5" i="8"/>
  <c r="X7" i="8"/>
  <c r="AI7" i="8"/>
  <c r="X9" i="8"/>
  <c r="AI9" i="8"/>
  <c r="X11" i="8"/>
  <c r="AI11" i="8"/>
  <c r="X13" i="8"/>
  <c r="AI13" i="8"/>
  <c r="X15" i="8"/>
  <c r="AI15" i="8"/>
  <c r="X17" i="8"/>
  <c r="AI17" i="8"/>
  <c r="X19" i="8"/>
  <c r="AI19" i="8"/>
  <c r="X21" i="8"/>
  <c r="AI21" i="8"/>
  <c r="X23" i="8"/>
  <c r="AJ23" i="8"/>
  <c r="AH24" i="8"/>
  <c r="AC25" i="8"/>
  <c r="AH65" i="8"/>
  <c r="AF84" i="8"/>
  <c r="X84" i="8"/>
  <c r="AK84" i="8"/>
  <c r="AB84" i="8"/>
  <c r="AH84" i="8"/>
  <c r="Y84" i="8"/>
  <c r="AG84" i="8"/>
  <c r="AE84" i="8"/>
  <c r="AD84" i="8"/>
  <c r="AC84" i="8"/>
  <c r="AA84" i="8"/>
  <c r="Z84" i="8"/>
  <c r="AI92" i="8"/>
  <c r="Y101" i="8"/>
  <c r="AF107" i="8"/>
  <c r="X107" i="8"/>
  <c r="AJ107" i="8"/>
  <c r="AB107" i="8"/>
  <c r="AI107" i="8"/>
  <c r="Y107" i="8"/>
  <c r="AG107" i="8"/>
  <c r="AE107" i="8"/>
  <c r="AC107" i="8"/>
  <c r="AK107" i="8"/>
  <c r="AH107" i="8"/>
  <c r="AD107" i="8"/>
  <c r="AA107" i="8"/>
  <c r="Z107" i="8"/>
  <c r="AK23" i="8"/>
  <c r="AE25" i="8"/>
  <c r="AF76" i="8"/>
  <c r="X76" i="8"/>
  <c r="AK76" i="8"/>
  <c r="AB76" i="8"/>
  <c r="AH76" i="8"/>
  <c r="Y76" i="8"/>
  <c r="AG76" i="8"/>
  <c r="AE76" i="8"/>
  <c r="AD76" i="8"/>
  <c r="AC76" i="8"/>
  <c r="AA76" i="8"/>
  <c r="Z76" i="8"/>
  <c r="AG24" i="8"/>
  <c r="Y24" i="8"/>
  <c r="AF24" i="8"/>
  <c r="X24" i="8"/>
  <c r="AD24" i="8"/>
  <c r="AJ24" i="8"/>
  <c r="AH25" i="8"/>
  <c r="AF69" i="8"/>
  <c r="X69" i="8"/>
  <c r="AE69" i="8"/>
  <c r="AD69" i="8"/>
  <c r="AC69" i="8"/>
  <c r="AK69" i="8"/>
  <c r="AB69" i="8"/>
  <c r="AJ69" i="8"/>
  <c r="AA69" i="8"/>
  <c r="AI69" i="8"/>
  <c r="Z69" i="8"/>
  <c r="AI76" i="8"/>
  <c r="AB5" i="8"/>
  <c r="AG6" i="8"/>
  <c r="Y6" i="8"/>
  <c r="AD6" i="8"/>
  <c r="AH6" i="8"/>
  <c r="AB7" i="8"/>
  <c r="AG8" i="8"/>
  <c r="Y8" i="8"/>
  <c r="AD8" i="8"/>
  <c r="AH8" i="8"/>
  <c r="AB9" i="8"/>
  <c r="AG10" i="8"/>
  <c r="Y10" i="8"/>
  <c r="AL10" i="8" s="1"/>
  <c r="AD10" i="8"/>
  <c r="AH10" i="8"/>
  <c r="AB11" i="8"/>
  <c r="AG12" i="8"/>
  <c r="Y12" i="8"/>
  <c r="AD12" i="8"/>
  <c r="AH12" i="8"/>
  <c r="AB13" i="8"/>
  <c r="AG14" i="8"/>
  <c r="Y14" i="8"/>
  <c r="AL14" i="8" s="1"/>
  <c r="AD14" i="8"/>
  <c r="AH14" i="8"/>
  <c r="AB15" i="8"/>
  <c r="AG16" i="8"/>
  <c r="Y16" i="8"/>
  <c r="AL16" i="8" s="1"/>
  <c r="AD16" i="8"/>
  <c r="AH16" i="8"/>
  <c r="AB17" i="8"/>
  <c r="AG18" i="8"/>
  <c r="Y18" i="8"/>
  <c r="AD18" i="8"/>
  <c r="AH18" i="8"/>
  <c r="AB19" i="8"/>
  <c r="AG20" i="8"/>
  <c r="Y20" i="8"/>
  <c r="AD20" i="8"/>
  <c r="AH20" i="8"/>
  <c r="AB21" i="8"/>
  <c r="AG22" i="8"/>
  <c r="Y22" i="8"/>
  <c r="AL22" i="8" s="1"/>
  <c r="AD22" i="8"/>
  <c r="AH22" i="8"/>
  <c r="AB23" i="8"/>
  <c r="Z24" i="8"/>
  <c r="AK24" i="8"/>
  <c r="AI25" i="8"/>
  <c r="Y69" i="8"/>
  <c r="AJ76" i="8"/>
  <c r="AF64" i="8"/>
  <c r="X64" i="8"/>
  <c r="AG64" i="8"/>
  <c r="AF68" i="8"/>
  <c r="X68" i="8"/>
  <c r="AG68" i="8"/>
  <c r="AF79" i="8"/>
  <c r="X79" i="8"/>
  <c r="AI79" i="8"/>
  <c r="Z79" i="8"/>
  <c r="AE79" i="8"/>
  <c r="AJ79" i="8"/>
  <c r="AF87" i="8"/>
  <c r="X87" i="8"/>
  <c r="AI87" i="8"/>
  <c r="Z87" i="8"/>
  <c r="AE87" i="8"/>
  <c r="AJ87" i="8"/>
  <c r="AF95" i="8"/>
  <c r="X95" i="8"/>
  <c r="AI95" i="8"/>
  <c r="Z95" i="8"/>
  <c r="AE95" i="8"/>
  <c r="AJ95" i="8"/>
  <c r="AF115" i="8"/>
  <c r="X115" i="8"/>
  <c r="AJ115" i="8"/>
  <c r="AB115" i="8"/>
  <c r="AI115" i="8"/>
  <c r="Y115" i="8"/>
  <c r="AG115" i="8"/>
  <c r="AE115" i="8"/>
  <c r="AD115" i="8"/>
  <c r="AC115" i="8"/>
  <c r="Y64" i="8"/>
  <c r="AH64" i="8"/>
  <c r="Y68" i="8"/>
  <c r="AH68" i="8"/>
  <c r="AF71" i="8"/>
  <c r="X71" i="8"/>
  <c r="AI71" i="8"/>
  <c r="Z71" i="8"/>
  <c r="AH71" i="8"/>
  <c r="AF73" i="8"/>
  <c r="X73" i="8"/>
  <c r="AD73" i="8"/>
  <c r="AH73" i="8"/>
  <c r="AF77" i="8"/>
  <c r="X77" i="8"/>
  <c r="AD77" i="8"/>
  <c r="AJ77" i="8"/>
  <c r="AA77" i="8"/>
  <c r="AI77" i="8"/>
  <c r="Y79" i="8"/>
  <c r="AK79" i="8"/>
  <c r="AF85" i="8"/>
  <c r="X85" i="8"/>
  <c r="AD85" i="8"/>
  <c r="AJ85" i="8"/>
  <c r="AA85" i="8"/>
  <c r="AI85" i="8"/>
  <c r="Y87" i="8"/>
  <c r="AK87" i="8"/>
  <c r="AF93" i="8"/>
  <c r="X93" i="8"/>
  <c r="AD93" i="8"/>
  <c r="AJ93" i="8"/>
  <c r="AA93" i="8"/>
  <c r="AI93" i="8"/>
  <c r="Y95" i="8"/>
  <c r="AK95" i="8"/>
  <c r="AF111" i="8"/>
  <c r="X111" i="8"/>
  <c r="AJ111" i="8"/>
  <c r="AB111" i="8"/>
  <c r="AI111" i="8"/>
  <c r="Y111" i="8"/>
  <c r="AG111" i="8"/>
  <c r="AE111" i="8"/>
  <c r="AD111" i="8"/>
  <c r="AC111" i="8"/>
  <c r="Z115" i="8"/>
  <c r="AC26" i="8"/>
  <c r="AK26" i="8"/>
  <c r="AC27" i="8"/>
  <c r="AK27" i="8"/>
  <c r="AC28" i="8"/>
  <c r="AK28" i="8"/>
  <c r="AC29" i="8"/>
  <c r="AK29" i="8"/>
  <c r="AC30" i="8"/>
  <c r="AK30" i="8"/>
  <c r="AC31" i="8"/>
  <c r="AK31" i="8"/>
  <c r="AC32" i="8"/>
  <c r="AK32" i="8"/>
  <c r="AC33" i="8"/>
  <c r="AK33" i="8"/>
  <c r="AC34" i="8"/>
  <c r="AK34" i="8"/>
  <c r="AC35" i="8"/>
  <c r="AK35" i="8"/>
  <c r="AC36" i="8"/>
  <c r="AK36" i="8"/>
  <c r="AC37" i="8"/>
  <c r="AK37" i="8"/>
  <c r="AC38" i="8"/>
  <c r="AK38" i="8"/>
  <c r="AC39" i="8"/>
  <c r="AK39" i="8"/>
  <c r="AC40" i="8"/>
  <c r="AK40" i="8"/>
  <c r="AC41" i="8"/>
  <c r="AK41" i="8"/>
  <c r="AC42" i="8"/>
  <c r="AK42" i="8"/>
  <c r="AC43" i="8"/>
  <c r="AK43" i="8"/>
  <c r="AC44" i="8"/>
  <c r="AK44" i="8"/>
  <c r="AC45" i="8"/>
  <c r="AK45" i="8"/>
  <c r="AC46" i="8"/>
  <c r="AK46" i="8"/>
  <c r="AC47" i="8"/>
  <c r="AK47" i="8"/>
  <c r="AC48" i="8"/>
  <c r="AK48" i="8"/>
  <c r="AC49" i="8"/>
  <c r="AK49" i="8"/>
  <c r="AC50" i="8"/>
  <c r="AK50" i="8"/>
  <c r="AC51" i="8"/>
  <c r="AK51" i="8"/>
  <c r="AC52" i="8"/>
  <c r="AK52" i="8"/>
  <c r="AC53" i="8"/>
  <c r="AK53" i="8"/>
  <c r="AC54" i="8"/>
  <c r="AK54" i="8"/>
  <c r="AC55" i="8"/>
  <c r="AK55" i="8"/>
  <c r="AC56" i="8"/>
  <c r="AK56" i="8"/>
  <c r="AC57" i="8"/>
  <c r="AK57" i="8"/>
  <c r="AC58" i="8"/>
  <c r="AK58" i="8"/>
  <c r="AC59" i="8"/>
  <c r="AK59" i="8"/>
  <c r="AC60" i="8"/>
  <c r="AK60" i="8"/>
  <c r="AC61" i="8"/>
  <c r="AK61" i="8"/>
  <c r="AF63" i="8"/>
  <c r="X63" i="8"/>
  <c r="AG63" i="8"/>
  <c r="Z64" i="8"/>
  <c r="AI64" i="8"/>
  <c r="AF67" i="8"/>
  <c r="X67" i="8"/>
  <c r="AG67" i="8"/>
  <c r="Z68" i="8"/>
  <c r="AI68" i="8"/>
  <c r="Y71" i="8"/>
  <c r="AJ71" i="8"/>
  <c r="Y73" i="8"/>
  <c r="AI73" i="8"/>
  <c r="Y77" i="8"/>
  <c r="AK77" i="8"/>
  <c r="AA79" i="8"/>
  <c r="Y85" i="8"/>
  <c r="AK85" i="8"/>
  <c r="AA87" i="8"/>
  <c r="Y93" i="8"/>
  <c r="AK93" i="8"/>
  <c r="AA95" i="8"/>
  <c r="AF105" i="8"/>
  <c r="X105" i="8"/>
  <c r="AJ105" i="8"/>
  <c r="AB105" i="8"/>
  <c r="AI105" i="8"/>
  <c r="Y105" i="8"/>
  <c r="AG105" i="8"/>
  <c r="AE105" i="8"/>
  <c r="AC105" i="8"/>
  <c r="Z111" i="8"/>
  <c r="AA115" i="8"/>
  <c r="AF117" i="8"/>
  <c r="X117" i="8"/>
  <c r="AJ117" i="8"/>
  <c r="AB117" i="8"/>
  <c r="AI117" i="8"/>
  <c r="Y117" i="8"/>
  <c r="AG117" i="8"/>
  <c r="AE117" i="8"/>
  <c r="AD117" i="8"/>
  <c r="AC117" i="8"/>
  <c r="AA64" i="8"/>
  <c r="AJ64" i="8"/>
  <c r="AA68" i="8"/>
  <c r="AJ68" i="8"/>
  <c r="AA71" i="8"/>
  <c r="AK71" i="8"/>
  <c r="Z73" i="8"/>
  <c r="AJ73" i="8"/>
  <c r="AF75" i="8"/>
  <c r="X75" i="8"/>
  <c r="AI75" i="8"/>
  <c r="Z75" i="8"/>
  <c r="AH75" i="8"/>
  <c r="Z77" i="8"/>
  <c r="AB79" i="8"/>
  <c r="AF80" i="8"/>
  <c r="X80" i="8"/>
  <c r="AK80" i="8"/>
  <c r="AB80" i="8"/>
  <c r="AH80" i="8"/>
  <c r="Y80" i="8"/>
  <c r="AJ80" i="8"/>
  <c r="Z85" i="8"/>
  <c r="AB87" i="8"/>
  <c r="AF88" i="8"/>
  <c r="X88" i="8"/>
  <c r="AK88" i="8"/>
  <c r="AB88" i="8"/>
  <c r="AH88" i="8"/>
  <c r="Y88" i="8"/>
  <c r="AJ88" i="8"/>
  <c r="Z93" i="8"/>
  <c r="AB95" i="8"/>
  <c r="AF96" i="8"/>
  <c r="X96" i="8"/>
  <c r="AK96" i="8"/>
  <c r="AB96" i="8"/>
  <c r="AH96" i="8"/>
  <c r="Y96" i="8"/>
  <c r="AJ96" i="8"/>
  <c r="AA111" i="8"/>
  <c r="AH115" i="8"/>
  <c r="AG126" i="8"/>
  <c r="Y126" i="8"/>
  <c r="AI126" i="8"/>
  <c r="Z126" i="8"/>
  <c r="AD126" i="8"/>
  <c r="AF126" i="8"/>
  <c r="AE126" i="8"/>
  <c r="AC126" i="8"/>
  <c r="AB126" i="8"/>
  <c r="AA126" i="8"/>
  <c r="AK126" i="8"/>
  <c r="X126" i="8"/>
  <c r="AG130" i="8"/>
  <c r="Y130" i="8"/>
  <c r="AD130" i="8"/>
  <c r="AF130" i="8"/>
  <c r="AK130" i="8"/>
  <c r="AA130" i="8"/>
  <c r="AI130" i="8"/>
  <c r="AH130" i="8"/>
  <c r="AE130" i="8"/>
  <c r="AC130" i="8"/>
  <c r="AB130" i="8"/>
  <c r="Z130" i="8"/>
  <c r="AG138" i="8"/>
  <c r="Y138" i="8"/>
  <c r="AD138" i="8"/>
  <c r="AI138" i="8"/>
  <c r="AA138" i="8"/>
  <c r="AF138" i="8"/>
  <c r="AE138" i="8"/>
  <c r="AC138" i="8"/>
  <c r="Z138" i="8"/>
  <c r="AK138" i="8"/>
  <c r="AJ138" i="8"/>
  <c r="AH138" i="8"/>
  <c r="AB138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F62" i="8"/>
  <c r="X62" i="8"/>
  <c r="AG62" i="8"/>
  <c r="AB64" i="8"/>
  <c r="AK64" i="8"/>
  <c r="AF66" i="8"/>
  <c r="X66" i="8"/>
  <c r="AG66" i="8"/>
  <c r="AB68" i="8"/>
  <c r="AK68" i="8"/>
  <c r="AF70" i="8"/>
  <c r="AG70" i="8"/>
  <c r="X70" i="8"/>
  <c r="AH70" i="8"/>
  <c r="AB71" i="8"/>
  <c r="AA73" i="8"/>
  <c r="AK73" i="8"/>
  <c r="Y75" i="8"/>
  <c r="AJ75" i="8"/>
  <c r="AB77" i="8"/>
  <c r="AC79" i="8"/>
  <c r="Z80" i="8"/>
  <c r="AF83" i="8"/>
  <c r="X83" i="8"/>
  <c r="AI83" i="8"/>
  <c r="Z83" i="8"/>
  <c r="AE83" i="8"/>
  <c r="AJ83" i="8"/>
  <c r="AB85" i="8"/>
  <c r="AC87" i="8"/>
  <c r="Z88" i="8"/>
  <c r="AF91" i="8"/>
  <c r="X91" i="8"/>
  <c r="AI91" i="8"/>
  <c r="Z91" i="8"/>
  <c r="AE91" i="8"/>
  <c r="AJ91" i="8"/>
  <c r="AB93" i="8"/>
  <c r="AC95" i="8"/>
  <c r="Z96" i="8"/>
  <c r="AF99" i="8"/>
  <c r="X99" i="8"/>
  <c r="AI99" i="8"/>
  <c r="Z99" i="8"/>
  <c r="AG99" i="8"/>
  <c r="AE99" i="8"/>
  <c r="AK99" i="8"/>
  <c r="AF109" i="8"/>
  <c r="X109" i="8"/>
  <c r="AJ109" i="8"/>
  <c r="AB109" i="8"/>
  <c r="AI109" i="8"/>
  <c r="Y109" i="8"/>
  <c r="AG109" i="8"/>
  <c r="AE109" i="8"/>
  <c r="AC109" i="8"/>
  <c r="AH111" i="8"/>
  <c r="AK115" i="8"/>
  <c r="AH126" i="8"/>
  <c r="X130" i="8"/>
  <c r="X138" i="8"/>
  <c r="X26" i="8"/>
  <c r="X27" i="8"/>
  <c r="X28" i="8"/>
  <c r="AL28" i="8" s="1"/>
  <c r="X29" i="8"/>
  <c r="AL29" i="8" s="1"/>
  <c r="X30" i="8"/>
  <c r="X31" i="8"/>
  <c r="X32" i="8"/>
  <c r="X33" i="8"/>
  <c r="AL33" i="8" s="1"/>
  <c r="X34" i="8"/>
  <c r="X35" i="8"/>
  <c r="X36" i="8"/>
  <c r="AL36" i="8" s="1"/>
  <c r="X37" i="8"/>
  <c r="AL37" i="8" s="1"/>
  <c r="X38" i="8"/>
  <c r="X39" i="8"/>
  <c r="X40" i="8"/>
  <c r="X41" i="8"/>
  <c r="AL41" i="8" s="1"/>
  <c r="X42" i="8"/>
  <c r="X43" i="8"/>
  <c r="X44" i="8"/>
  <c r="AL44" i="8" s="1"/>
  <c r="X45" i="8"/>
  <c r="AL45" i="8" s="1"/>
  <c r="X46" i="8"/>
  <c r="X47" i="8"/>
  <c r="X48" i="8"/>
  <c r="X49" i="8"/>
  <c r="AL49" i="8" s="1"/>
  <c r="X50" i="8"/>
  <c r="X51" i="8"/>
  <c r="X52" i="8"/>
  <c r="AL52" i="8" s="1"/>
  <c r="X53" i="8"/>
  <c r="AL53" i="8" s="1"/>
  <c r="X54" i="8"/>
  <c r="X55" i="8"/>
  <c r="X56" i="8"/>
  <c r="X57" i="8"/>
  <c r="AL57" i="8" s="1"/>
  <c r="X58" i="8"/>
  <c r="X59" i="8"/>
  <c r="X60" i="8"/>
  <c r="AL60" i="8" s="1"/>
  <c r="X61" i="8"/>
  <c r="AL61" i="8" s="1"/>
  <c r="Y62" i="8"/>
  <c r="AH62" i="8"/>
  <c r="AC64" i="8"/>
  <c r="Y66" i="8"/>
  <c r="AH66" i="8"/>
  <c r="AC68" i="8"/>
  <c r="Y70" i="8"/>
  <c r="AI70" i="8"/>
  <c r="AC71" i="8"/>
  <c r="AF72" i="8"/>
  <c r="X72" i="8"/>
  <c r="AK72" i="8"/>
  <c r="AB72" i="8"/>
  <c r="AH72" i="8"/>
  <c r="AB73" i="8"/>
  <c r="AA75" i="8"/>
  <c r="AK75" i="8"/>
  <c r="AC77" i="8"/>
  <c r="AD79" i="8"/>
  <c r="AA80" i="8"/>
  <c r="AF81" i="8"/>
  <c r="X81" i="8"/>
  <c r="AD81" i="8"/>
  <c r="AJ81" i="8"/>
  <c r="AA81" i="8"/>
  <c r="AI81" i="8"/>
  <c r="Y83" i="8"/>
  <c r="AK83" i="8"/>
  <c r="AC85" i="8"/>
  <c r="AD87" i="8"/>
  <c r="AA88" i="8"/>
  <c r="AF89" i="8"/>
  <c r="X89" i="8"/>
  <c r="AD89" i="8"/>
  <c r="AJ89" i="8"/>
  <c r="AA89" i="8"/>
  <c r="AI89" i="8"/>
  <c r="Y91" i="8"/>
  <c r="AK91" i="8"/>
  <c r="AC93" i="8"/>
  <c r="AD95" i="8"/>
  <c r="AA96" i="8"/>
  <c r="AF97" i="8"/>
  <c r="X97" i="8"/>
  <c r="AD97" i="8"/>
  <c r="AJ97" i="8"/>
  <c r="AA97" i="8"/>
  <c r="AI97" i="8"/>
  <c r="Y99" i="8"/>
  <c r="Z109" i="8"/>
  <c r="AK111" i="8"/>
  <c r="AF113" i="8"/>
  <c r="X113" i="8"/>
  <c r="AJ113" i="8"/>
  <c r="AB113" i="8"/>
  <c r="AI113" i="8"/>
  <c r="Y113" i="8"/>
  <c r="AG113" i="8"/>
  <c r="AE113" i="8"/>
  <c r="AD113" i="8"/>
  <c r="AC113" i="8"/>
  <c r="AJ126" i="8"/>
  <c r="AJ130" i="8"/>
  <c r="AG150" i="8"/>
  <c r="Y150" i="8"/>
  <c r="AD150" i="8"/>
  <c r="AI150" i="8"/>
  <c r="AA150" i="8"/>
  <c r="AF150" i="8"/>
  <c r="AE150" i="8"/>
  <c r="AC150" i="8"/>
  <c r="Z150" i="8"/>
  <c r="AK150" i="8"/>
  <c r="X150" i="8"/>
  <c r="AJ150" i="8"/>
  <c r="AH150" i="8"/>
  <c r="AF104" i="8"/>
  <c r="X104" i="8"/>
  <c r="AJ104" i="8"/>
  <c r="AB104" i="8"/>
  <c r="AH104" i="8"/>
  <c r="AF106" i="8"/>
  <c r="X106" i="8"/>
  <c r="AJ106" i="8"/>
  <c r="AB106" i="8"/>
  <c r="AH106" i="8"/>
  <c r="AF108" i="8"/>
  <c r="X108" i="8"/>
  <c r="AJ108" i="8"/>
  <c r="AB108" i="8"/>
  <c r="AH108" i="8"/>
  <c r="AF110" i="8"/>
  <c r="X110" i="8"/>
  <c r="AJ110" i="8"/>
  <c r="AB110" i="8"/>
  <c r="AH110" i="8"/>
  <c r="AF112" i="8"/>
  <c r="X112" i="8"/>
  <c r="AJ112" i="8"/>
  <c r="AB112" i="8"/>
  <c r="AH112" i="8"/>
  <c r="AF114" i="8"/>
  <c r="X114" i="8"/>
  <c r="AJ114" i="8"/>
  <c r="AB114" i="8"/>
  <c r="AH114" i="8"/>
  <c r="AF116" i="8"/>
  <c r="X116" i="8"/>
  <c r="AJ116" i="8"/>
  <c r="AB116" i="8"/>
  <c r="AH116" i="8"/>
  <c r="AF118" i="8"/>
  <c r="X118" i="8"/>
  <c r="AJ118" i="8"/>
  <c r="AB118" i="8"/>
  <c r="AH118" i="8"/>
  <c r="AC119" i="8"/>
  <c r="AF120" i="8"/>
  <c r="X120" i="8"/>
  <c r="AJ120" i="8"/>
  <c r="AB120" i="8"/>
  <c r="AH120" i="8"/>
  <c r="AC121" i="8"/>
  <c r="AF122" i="8"/>
  <c r="X122" i="8"/>
  <c r="AJ122" i="8"/>
  <c r="AB122" i="8"/>
  <c r="AH122" i="8"/>
  <c r="AC123" i="8"/>
  <c r="AF124" i="8"/>
  <c r="X124" i="8"/>
  <c r="AJ124" i="8"/>
  <c r="AB124" i="8"/>
  <c r="AH124" i="8"/>
  <c r="AC125" i="8"/>
  <c r="AC128" i="8"/>
  <c r="AG154" i="8"/>
  <c r="Y154" i="8"/>
  <c r="AD154" i="8"/>
  <c r="AI154" i="8"/>
  <c r="AA154" i="8"/>
  <c r="AF154" i="8"/>
  <c r="AE154" i="8"/>
  <c r="AC154" i="8"/>
  <c r="Z154" i="8"/>
  <c r="AK154" i="8"/>
  <c r="X154" i="8"/>
  <c r="AI114" i="8"/>
  <c r="Y116" i="8"/>
  <c r="AI116" i="8"/>
  <c r="Y118" i="8"/>
  <c r="AI118" i="8"/>
  <c r="AD119" i="8"/>
  <c r="Y120" i="8"/>
  <c r="AI120" i="8"/>
  <c r="AD121" i="8"/>
  <c r="Y122" i="8"/>
  <c r="AI122" i="8"/>
  <c r="AD123" i="8"/>
  <c r="Y124" i="8"/>
  <c r="AI124" i="8"/>
  <c r="AD125" i="8"/>
  <c r="AE128" i="8"/>
  <c r="AG134" i="8"/>
  <c r="Y134" i="8"/>
  <c r="AD134" i="8"/>
  <c r="AI134" i="8"/>
  <c r="AF134" i="8"/>
  <c r="AE134" i="8"/>
  <c r="AC134" i="8"/>
  <c r="AA134" i="8"/>
  <c r="AB154" i="8"/>
  <c r="Z104" i="8"/>
  <c r="AK104" i="8"/>
  <c r="Z106" i="8"/>
  <c r="AK106" i="8"/>
  <c r="Z108" i="8"/>
  <c r="AK108" i="8"/>
  <c r="Z110" i="8"/>
  <c r="AK110" i="8"/>
  <c r="Z112" i="8"/>
  <c r="AK112" i="8"/>
  <c r="Z114" i="8"/>
  <c r="AK114" i="8"/>
  <c r="Z116" i="8"/>
  <c r="AK116" i="8"/>
  <c r="Z118" i="8"/>
  <c r="AK118" i="8"/>
  <c r="AE119" i="8"/>
  <c r="Z120" i="8"/>
  <c r="AK120" i="8"/>
  <c r="AE121" i="8"/>
  <c r="Z122" i="8"/>
  <c r="AK122" i="8"/>
  <c r="AE123" i="8"/>
  <c r="Z124" i="8"/>
  <c r="AK124" i="8"/>
  <c r="AE125" i="8"/>
  <c r="AH128" i="8"/>
  <c r="X134" i="8"/>
  <c r="AG142" i="8"/>
  <c r="Y142" i="8"/>
  <c r="AD142" i="8"/>
  <c r="AI142" i="8"/>
  <c r="AA142" i="8"/>
  <c r="AF142" i="8"/>
  <c r="AE142" i="8"/>
  <c r="AC142" i="8"/>
  <c r="Z142" i="8"/>
  <c r="AK142" i="8"/>
  <c r="X142" i="8"/>
  <c r="AH154" i="8"/>
  <c r="AG158" i="8"/>
  <c r="Y158" i="8"/>
  <c r="AD158" i="8"/>
  <c r="AI158" i="8"/>
  <c r="AA158" i="8"/>
  <c r="AF158" i="8"/>
  <c r="AE158" i="8"/>
  <c r="AC158" i="8"/>
  <c r="Z158" i="8"/>
  <c r="AK158" i="8"/>
  <c r="X158" i="8"/>
  <c r="AF103" i="8"/>
  <c r="X103" i="8"/>
  <c r="AJ103" i="8"/>
  <c r="AG103" i="8"/>
  <c r="AA104" i="8"/>
  <c r="AA106" i="8"/>
  <c r="AA108" i="8"/>
  <c r="AA110" i="8"/>
  <c r="AA112" i="8"/>
  <c r="AA114" i="8"/>
  <c r="AA116" i="8"/>
  <c r="AA118" i="8"/>
  <c r="AA120" i="8"/>
  <c r="AA122" i="8"/>
  <c r="AA124" i="8"/>
  <c r="Z134" i="8"/>
  <c r="AJ154" i="8"/>
  <c r="AF119" i="8"/>
  <c r="X119" i="8"/>
  <c r="AJ119" i="8"/>
  <c r="AB119" i="8"/>
  <c r="AH119" i="8"/>
  <c r="AF121" i="8"/>
  <c r="X121" i="8"/>
  <c r="AJ121" i="8"/>
  <c r="AB121" i="8"/>
  <c r="AH121" i="8"/>
  <c r="AF123" i="8"/>
  <c r="X123" i="8"/>
  <c r="AJ123" i="8"/>
  <c r="AB123" i="8"/>
  <c r="AH123" i="8"/>
  <c r="AG125" i="8"/>
  <c r="AF125" i="8"/>
  <c r="X125" i="8"/>
  <c r="AK125" i="8"/>
  <c r="AB125" i="8"/>
  <c r="AI125" i="8"/>
  <c r="AG128" i="8"/>
  <c r="Y128" i="8"/>
  <c r="AD128" i="8"/>
  <c r="AF128" i="8"/>
  <c r="AK128" i="8"/>
  <c r="AA128" i="8"/>
  <c r="AJ128" i="8"/>
  <c r="AG133" i="8"/>
  <c r="Y133" i="8"/>
  <c r="AD133" i="8"/>
  <c r="AK133" i="8"/>
  <c r="AA133" i="8"/>
  <c r="AJ133" i="8"/>
  <c r="Z133" i="8"/>
  <c r="AI133" i="8"/>
  <c r="X133" i="8"/>
  <c r="AF133" i="8"/>
  <c r="AG146" i="8"/>
  <c r="Y146" i="8"/>
  <c r="AD146" i="8"/>
  <c r="AI146" i="8"/>
  <c r="AA146" i="8"/>
  <c r="AF146" i="8"/>
  <c r="AE146" i="8"/>
  <c r="AC146" i="8"/>
  <c r="Z146" i="8"/>
  <c r="AK146" i="8"/>
  <c r="X146" i="8"/>
  <c r="AG162" i="8"/>
  <c r="Y162" i="8"/>
  <c r="AD162" i="8"/>
  <c r="AI162" i="8"/>
  <c r="AA162" i="8"/>
  <c r="AF162" i="8"/>
  <c r="AE162" i="8"/>
  <c r="AC162" i="8"/>
  <c r="Z162" i="8"/>
  <c r="AK162" i="8"/>
  <c r="X162" i="8"/>
  <c r="AG166" i="8"/>
  <c r="Y166" i="8"/>
  <c r="AD166" i="8"/>
  <c r="AI166" i="8"/>
  <c r="AA166" i="8"/>
  <c r="AF166" i="8"/>
  <c r="AE166" i="8"/>
  <c r="AC166" i="8"/>
  <c r="AB166" i="8"/>
  <c r="Z166" i="8"/>
  <c r="AK166" i="8"/>
  <c r="X166" i="8"/>
  <c r="AF74" i="8"/>
  <c r="X74" i="8"/>
  <c r="AG74" i="8"/>
  <c r="AF78" i="8"/>
  <c r="X78" i="8"/>
  <c r="AG78" i="8"/>
  <c r="AF82" i="8"/>
  <c r="X82" i="8"/>
  <c r="AG82" i="8"/>
  <c r="AF86" i="8"/>
  <c r="X86" i="8"/>
  <c r="AG86" i="8"/>
  <c r="AF90" i="8"/>
  <c r="X90" i="8"/>
  <c r="AG90" i="8"/>
  <c r="AF94" i="8"/>
  <c r="X94" i="8"/>
  <c r="AG94" i="8"/>
  <c r="AF98" i="8"/>
  <c r="X98" i="8"/>
  <c r="AG98" i="8"/>
  <c r="AF102" i="8"/>
  <c r="X102" i="8"/>
  <c r="AG102" i="8"/>
  <c r="Z103" i="8"/>
  <c r="AI103" i="8"/>
  <c r="AD104" i="8"/>
  <c r="AD106" i="8"/>
  <c r="AD108" i="8"/>
  <c r="AD110" i="8"/>
  <c r="AD112" i="8"/>
  <c r="AD114" i="8"/>
  <c r="AD116" i="8"/>
  <c r="AD118" i="8"/>
  <c r="Y119" i="8"/>
  <c r="AI119" i="8"/>
  <c r="AD120" i="8"/>
  <c r="Y121" i="8"/>
  <c r="AI121" i="8"/>
  <c r="AD122" i="8"/>
  <c r="Y123" i="8"/>
  <c r="AI123" i="8"/>
  <c r="AD124" i="8"/>
  <c r="Y125" i="8"/>
  <c r="AJ125" i="8"/>
  <c r="X128" i="8"/>
  <c r="AG129" i="8"/>
  <c r="Y129" i="8"/>
  <c r="AD129" i="8"/>
  <c r="AK129" i="8"/>
  <c r="AA129" i="8"/>
  <c r="AF129" i="8"/>
  <c r="AJ129" i="8"/>
  <c r="AG132" i="8"/>
  <c r="Y132" i="8"/>
  <c r="AD132" i="8"/>
  <c r="AF132" i="8"/>
  <c r="AE132" i="8"/>
  <c r="AC132" i="8"/>
  <c r="AK132" i="8"/>
  <c r="AA132" i="8"/>
  <c r="AB133" i="8"/>
  <c r="AH134" i="8"/>
  <c r="AJ142" i="8"/>
  <c r="AB146" i="8"/>
  <c r="AB162" i="8"/>
  <c r="AH166" i="8"/>
  <c r="AG127" i="8"/>
  <c r="Y127" i="8"/>
  <c r="AF127" i="8"/>
  <c r="AG135" i="8"/>
  <c r="Y135" i="8"/>
  <c r="AD135" i="8"/>
  <c r="AI135" i="8"/>
  <c r="AA135" i="8"/>
  <c r="AJ135" i="8"/>
  <c r="AG139" i="8"/>
  <c r="Y139" i="8"/>
  <c r="AD139" i="8"/>
  <c r="AI139" i="8"/>
  <c r="AA139" i="8"/>
  <c r="AJ139" i="8"/>
  <c r="AG143" i="8"/>
  <c r="Y143" i="8"/>
  <c r="AD143" i="8"/>
  <c r="AI143" i="8"/>
  <c r="AA143" i="8"/>
  <c r="AJ143" i="8"/>
  <c r="AG147" i="8"/>
  <c r="Y147" i="8"/>
  <c r="AD147" i="8"/>
  <c r="AI147" i="8"/>
  <c r="AA147" i="8"/>
  <c r="AJ147" i="8"/>
  <c r="AG151" i="8"/>
  <c r="Y151" i="8"/>
  <c r="AD151" i="8"/>
  <c r="AI151" i="8"/>
  <c r="AA151" i="8"/>
  <c r="AJ151" i="8"/>
  <c r="AG155" i="8"/>
  <c r="Y155" i="8"/>
  <c r="AD155" i="8"/>
  <c r="AI155" i="8"/>
  <c r="AA155" i="8"/>
  <c r="AJ155" i="8"/>
  <c r="AG159" i="8"/>
  <c r="Y159" i="8"/>
  <c r="AD159" i="8"/>
  <c r="AI159" i="8"/>
  <c r="AA159" i="8"/>
  <c r="AJ159" i="8"/>
  <c r="AG163" i="8"/>
  <c r="Y163" i="8"/>
  <c r="AD163" i="8"/>
  <c r="AI163" i="8"/>
  <c r="AA163" i="8"/>
  <c r="AJ163" i="8"/>
  <c r="AF164" i="8"/>
  <c r="AG167" i="8"/>
  <c r="Y167" i="8"/>
  <c r="AD167" i="8"/>
  <c r="AI167" i="8"/>
  <c r="AA167" i="8"/>
  <c r="AJ167" i="8"/>
  <c r="AK163" i="8"/>
  <c r="X167" i="8"/>
  <c r="AK167" i="8"/>
  <c r="AG136" i="8"/>
  <c r="Y136" i="8"/>
  <c r="AD136" i="8"/>
  <c r="AI136" i="8"/>
  <c r="AA136" i="8"/>
  <c r="AJ136" i="8"/>
  <c r="AG140" i="8"/>
  <c r="Y140" i="8"/>
  <c r="AD140" i="8"/>
  <c r="AI140" i="8"/>
  <c r="AA140" i="8"/>
  <c r="AJ140" i="8"/>
  <c r="AG144" i="8"/>
  <c r="Y144" i="8"/>
  <c r="AD144" i="8"/>
  <c r="AI144" i="8"/>
  <c r="AA144" i="8"/>
  <c r="AJ144" i="8"/>
  <c r="AG148" i="8"/>
  <c r="Y148" i="8"/>
  <c r="AD148" i="8"/>
  <c r="AI148" i="8"/>
  <c r="AA148" i="8"/>
  <c r="AJ148" i="8"/>
  <c r="AG152" i="8"/>
  <c r="Y152" i="8"/>
  <c r="AD152" i="8"/>
  <c r="AI152" i="8"/>
  <c r="AA152" i="8"/>
  <c r="AJ152" i="8"/>
  <c r="AG156" i="8"/>
  <c r="Y156" i="8"/>
  <c r="AD156" i="8"/>
  <c r="AI156" i="8"/>
  <c r="AA156" i="8"/>
  <c r="AJ156" i="8"/>
  <c r="AG160" i="8"/>
  <c r="Y160" i="8"/>
  <c r="AD160" i="8"/>
  <c r="AI160" i="8"/>
  <c r="AA160" i="8"/>
  <c r="AJ160" i="8"/>
  <c r="AG164" i="8"/>
  <c r="Y164" i="8"/>
  <c r="AD164" i="8"/>
  <c r="AI164" i="8"/>
  <c r="AA164" i="8"/>
  <c r="AJ164" i="8"/>
  <c r="Z167" i="8"/>
  <c r="X136" i="8"/>
  <c r="AK136" i="8"/>
  <c r="X140" i="8"/>
  <c r="AK140" i="8"/>
  <c r="X144" i="8"/>
  <c r="AK144" i="8"/>
  <c r="X148" i="8"/>
  <c r="AK148" i="8"/>
  <c r="X152" i="8"/>
  <c r="AK152" i="8"/>
  <c r="X156" i="8"/>
  <c r="AK156" i="8"/>
  <c r="X160" i="8"/>
  <c r="AK160" i="8"/>
  <c r="X164" i="8"/>
  <c r="AK164" i="8"/>
  <c r="AB167" i="8"/>
  <c r="AB127" i="8"/>
  <c r="AK127" i="8"/>
  <c r="AC135" i="8"/>
  <c r="Z136" i="8"/>
  <c r="AG137" i="8"/>
  <c r="Y137" i="8"/>
  <c r="AD137" i="8"/>
  <c r="AI137" i="8"/>
  <c r="AA137" i="8"/>
  <c r="AJ137" i="8"/>
  <c r="AC139" i="8"/>
  <c r="Z140" i="8"/>
  <c r="AG141" i="8"/>
  <c r="Y141" i="8"/>
  <c r="AD141" i="8"/>
  <c r="AI141" i="8"/>
  <c r="AA141" i="8"/>
  <c r="AJ141" i="8"/>
  <c r="AC143" i="8"/>
  <c r="Z144" i="8"/>
  <c r="AG145" i="8"/>
  <c r="Y145" i="8"/>
  <c r="AD145" i="8"/>
  <c r="AI145" i="8"/>
  <c r="AA145" i="8"/>
  <c r="AJ145" i="8"/>
  <c r="AC147" i="8"/>
  <c r="Z148" i="8"/>
  <c r="AG149" i="8"/>
  <c r="Y149" i="8"/>
  <c r="AD149" i="8"/>
  <c r="AI149" i="8"/>
  <c r="AA149" i="8"/>
  <c r="AJ149" i="8"/>
  <c r="AC151" i="8"/>
  <c r="Z152" i="8"/>
  <c r="AG153" i="8"/>
  <c r="Y153" i="8"/>
  <c r="AD153" i="8"/>
  <c r="AI153" i="8"/>
  <c r="AA153" i="8"/>
  <c r="AJ153" i="8"/>
  <c r="AC155" i="8"/>
  <c r="Z156" i="8"/>
  <c r="AG157" i="8"/>
  <c r="Y157" i="8"/>
  <c r="AD157" i="8"/>
  <c r="AI157" i="8"/>
  <c r="AA157" i="8"/>
  <c r="AJ157" i="8"/>
  <c r="AC159" i="8"/>
  <c r="Z160" i="8"/>
  <c r="AG161" i="8"/>
  <c r="Y161" i="8"/>
  <c r="AD161" i="8"/>
  <c r="AI161" i="8"/>
  <c r="AA161" i="8"/>
  <c r="AJ161" i="8"/>
  <c r="AC163" i="8"/>
  <c r="Z164" i="8"/>
  <c r="AG165" i="8"/>
  <c r="Y165" i="8"/>
  <c r="AD165" i="8"/>
  <c r="AI165" i="8"/>
  <c r="AA165" i="8"/>
  <c r="AJ165" i="8"/>
  <c r="AC167" i="8"/>
  <c r="BQ73" i="6"/>
  <c r="BU63" i="6"/>
  <c r="BU84" i="6"/>
  <c r="BU108" i="6"/>
  <c r="BU78" i="6"/>
  <c r="BQ92" i="6"/>
  <c r="BU92" i="6" s="1"/>
  <c r="BQ70" i="6"/>
  <c r="BU70" i="6" s="1"/>
  <c r="BQ60" i="6"/>
  <c r="BU60" i="6" s="1"/>
  <c r="BU69" i="6"/>
  <c r="BU100" i="6"/>
  <c r="BU76" i="6"/>
  <c r="BU81" i="6"/>
  <c r="BU73" i="6"/>
  <c r="BU65" i="6"/>
  <c r="BU66" i="6"/>
  <c r="BU74" i="6"/>
  <c r="BU82" i="6"/>
  <c r="BU90" i="6"/>
  <c r="BU98" i="6"/>
  <c r="BU106" i="6"/>
  <c r="BU105" i="6"/>
  <c r="Q130" i="2"/>
  <c r="R130" i="2" s="1"/>
  <c r="AB5" i="7"/>
  <c r="AJ5" i="7"/>
  <c r="O27" i="2" s="1"/>
  <c r="AC5" i="7"/>
  <c r="H27" i="2" s="1"/>
  <c r="AK5" i="7"/>
  <c r="P27" i="2" s="1"/>
  <c r="AD5" i="7"/>
  <c r="AE5" i="7"/>
  <c r="J27" i="2" s="1"/>
  <c r="AF5" i="7"/>
  <c r="K27" i="2" s="1"/>
  <c r="AH5" i="7"/>
  <c r="M27" i="2" s="1"/>
  <c r="AG5" i="7"/>
  <c r="L27" i="2" s="1"/>
  <c r="AI5" i="7"/>
  <c r="N27" i="2" s="1"/>
  <c r="Z5" i="7"/>
  <c r="E27" i="2" s="1"/>
  <c r="Y5" i="7"/>
  <c r="D27" i="2" s="1"/>
  <c r="AG161" i="7"/>
  <c r="AH161" i="7"/>
  <c r="AI161" i="7"/>
  <c r="AB161" i="7"/>
  <c r="AJ161" i="7"/>
  <c r="AE161" i="7"/>
  <c r="AF161" i="7"/>
  <c r="AC161" i="7"/>
  <c r="X161" i="7"/>
  <c r="Y161" i="7"/>
  <c r="Z161" i="7"/>
  <c r="AA161" i="7"/>
  <c r="AD161" i="7"/>
  <c r="AF153" i="7"/>
  <c r="AG153" i="7"/>
  <c r="AH153" i="7"/>
  <c r="AI153" i="7"/>
  <c r="AB153" i="7"/>
  <c r="AJ153" i="7"/>
  <c r="AC153" i="7"/>
  <c r="AD153" i="7"/>
  <c r="AK153" i="7"/>
  <c r="AE153" i="7"/>
  <c r="X153" i="7"/>
  <c r="Y153" i="7"/>
  <c r="Z153" i="7"/>
  <c r="AA153" i="7"/>
  <c r="AF145" i="7"/>
  <c r="AG145" i="7"/>
  <c r="AH145" i="7"/>
  <c r="AI145" i="7"/>
  <c r="AB145" i="7"/>
  <c r="AJ145" i="7"/>
  <c r="AD145" i="7"/>
  <c r="AE145" i="7"/>
  <c r="X145" i="7"/>
  <c r="Y145" i="7"/>
  <c r="Z145" i="7"/>
  <c r="AC145" i="7"/>
  <c r="AA145" i="7"/>
  <c r="AK145" i="7"/>
  <c r="AF137" i="7"/>
  <c r="AG137" i="7"/>
  <c r="AH137" i="7"/>
  <c r="AI137" i="7"/>
  <c r="AB137" i="7"/>
  <c r="AJ137" i="7"/>
  <c r="AC137" i="7"/>
  <c r="AE137" i="7"/>
  <c r="AD137" i="7"/>
  <c r="X137" i="7"/>
  <c r="AK137" i="7"/>
  <c r="Y137" i="7"/>
  <c r="Z137" i="7"/>
  <c r="AA137" i="7"/>
  <c r="AF129" i="7"/>
  <c r="AG129" i="7"/>
  <c r="AH129" i="7"/>
  <c r="AI129" i="7"/>
  <c r="AB129" i="7"/>
  <c r="AJ129" i="7"/>
  <c r="AE129" i="7"/>
  <c r="AK129" i="7"/>
  <c r="AC129" i="7"/>
  <c r="X129" i="7"/>
  <c r="AD129" i="7"/>
  <c r="Y129" i="7"/>
  <c r="Z129" i="7"/>
  <c r="AA129" i="7"/>
  <c r="AI121" i="7"/>
  <c r="AB121" i="7"/>
  <c r="AJ121" i="7"/>
  <c r="AC121" i="7"/>
  <c r="AK121" i="7"/>
  <c r="AE121" i="7"/>
  <c r="AH121" i="7"/>
  <c r="AD121" i="7"/>
  <c r="AF121" i="7"/>
  <c r="X121" i="7"/>
  <c r="Y121" i="7"/>
  <c r="Z121" i="7"/>
  <c r="AG121" i="7"/>
  <c r="AA121" i="7"/>
  <c r="AI113" i="7"/>
  <c r="AB113" i="7"/>
  <c r="AJ113" i="7"/>
  <c r="AC113" i="7"/>
  <c r="AK113" i="7"/>
  <c r="AE113" i="7"/>
  <c r="AH113" i="7"/>
  <c r="AD113" i="7"/>
  <c r="AG113" i="7"/>
  <c r="X113" i="7"/>
  <c r="Y113" i="7"/>
  <c r="Z113" i="7"/>
  <c r="AA113" i="7"/>
  <c r="AF113" i="7"/>
  <c r="AI105" i="7"/>
  <c r="AB105" i="7"/>
  <c r="AJ105" i="7"/>
  <c r="AC105" i="7"/>
  <c r="AK105" i="7"/>
  <c r="AE105" i="7"/>
  <c r="AG105" i="7"/>
  <c r="AD105" i="7"/>
  <c r="AF105" i="7"/>
  <c r="AH105" i="7"/>
  <c r="Z105" i="7"/>
  <c r="X105" i="7"/>
  <c r="AA105" i="7"/>
  <c r="AI97" i="7"/>
  <c r="AB97" i="7"/>
  <c r="AJ97" i="7"/>
  <c r="AC97" i="7"/>
  <c r="AK97" i="7"/>
  <c r="AE97" i="7"/>
  <c r="AF97" i="7"/>
  <c r="AG97" i="7"/>
  <c r="AD97" i="7"/>
  <c r="Z97" i="7"/>
  <c r="X97" i="7"/>
  <c r="AA97" i="7"/>
  <c r="AH97" i="7"/>
  <c r="AI89" i="7"/>
  <c r="AB89" i="7"/>
  <c r="AJ89" i="7"/>
  <c r="AC89" i="7"/>
  <c r="AK89" i="7"/>
  <c r="AE89" i="7"/>
  <c r="AF89" i="7"/>
  <c r="AG89" i="7"/>
  <c r="AD89" i="7"/>
  <c r="AH89" i="7"/>
  <c r="Z89" i="7"/>
  <c r="X89" i="7"/>
  <c r="Y89" i="7"/>
  <c r="AA89" i="7"/>
  <c r="AI81" i="7"/>
  <c r="AB81" i="7"/>
  <c r="AJ81" i="7"/>
  <c r="AC81" i="7"/>
  <c r="AK81" i="7"/>
  <c r="AE81" i="7"/>
  <c r="AF81" i="7"/>
  <c r="AG81" i="7"/>
  <c r="AD81" i="7"/>
  <c r="AH81" i="7"/>
  <c r="Z81" i="7"/>
  <c r="X81" i="7"/>
  <c r="Y81" i="7"/>
  <c r="AA81" i="7"/>
  <c r="AI73" i="7"/>
  <c r="AB73" i="7"/>
  <c r="AJ73" i="7"/>
  <c r="AC73" i="7"/>
  <c r="AK73" i="7"/>
  <c r="AE73" i="7"/>
  <c r="AF73" i="7"/>
  <c r="AG73" i="7"/>
  <c r="AD73" i="7"/>
  <c r="AH73" i="7"/>
  <c r="Z73" i="7"/>
  <c r="X73" i="7"/>
  <c r="Y73" i="7"/>
  <c r="AA73" i="7"/>
  <c r="AB65" i="7"/>
  <c r="AJ65" i="7"/>
  <c r="AC65" i="7"/>
  <c r="AK65" i="7"/>
  <c r="AD65" i="7"/>
  <c r="AE65" i="7"/>
  <c r="AH65" i="7"/>
  <c r="AF65" i="7"/>
  <c r="AG65" i="7"/>
  <c r="AI65" i="7"/>
  <c r="Z65" i="7"/>
  <c r="AA65" i="7"/>
  <c r="X65" i="7"/>
  <c r="Y65" i="7"/>
  <c r="AB57" i="7"/>
  <c r="AJ57" i="7"/>
  <c r="AC57" i="7"/>
  <c r="AK57" i="7"/>
  <c r="AD57" i="7"/>
  <c r="AE57" i="7"/>
  <c r="AF57" i="7"/>
  <c r="AH57" i="7"/>
  <c r="AG57" i="7"/>
  <c r="AI57" i="7"/>
  <c r="Z57" i="7"/>
  <c r="AA57" i="7"/>
  <c r="X57" i="7"/>
  <c r="Y57" i="7"/>
  <c r="AB49" i="7"/>
  <c r="G30" i="2" s="1"/>
  <c r="AJ49" i="7"/>
  <c r="O30" i="2" s="1"/>
  <c r="AC49" i="7"/>
  <c r="AK49" i="7"/>
  <c r="P30" i="2" s="1"/>
  <c r="AD49" i="7"/>
  <c r="I30" i="2" s="1"/>
  <c r="AE49" i="7"/>
  <c r="J30" i="2" s="1"/>
  <c r="AF49" i="7"/>
  <c r="K30" i="2" s="1"/>
  <c r="AH49" i="7"/>
  <c r="M30" i="2" s="1"/>
  <c r="AG49" i="7"/>
  <c r="L30" i="2" s="1"/>
  <c r="AI49" i="7"/>
  <c r="N30" i="2" s="1"/>
  <c r="Z49" i="7"/>
  <c r="E30" i="2" s="1"/>
  <c r="AA49" i="7"/>
  <c r="F30" i="2" s="1"/>
  <c r="X49" i="7"/>
  <c r="C30" i="2" s="1"/>
  <c r="Y49" i="7"/>
  <c r="D30" i="2" s="1"/>
  <c r="AB41" i="7"/>
  <c r="G15" i="2" s="1"/>
  <c r="AJ41" i="7"/>
  <c r="O15" i="2" s="1"/>
  <c r="AC41" i="7"/>
  <c r="H15" i="2" s="1"/>
  <c r="AK41" i="7"/>
  <c r="P15" i="2" s="1"/>
  <c r="AD41" i="7"/>
  <c r="I15" i="2" s="1"/>
  <c r="AE41" i="7"/>
  <c r="J15" i="2" s="1"/>
  <c r="AF41" i="7"/>
  <c r="K15" i="2" s="1"/>
  <c r="AH41" i="7"/>
  <c r="M15" i="2" s="1"/>
  <c r="AG41" i="7"/>
  <c r="Z41" i="7"/>
  <c r="E15" i="2" s="1"/>
  <c r="AA41" i="7"/>
  <c r="F15" i="2" s="1"/>
  <c r="X41" i="7"/>
  <c r="C15" i="2" s="1"/>
  <c r="AI41" i="7"/>
  <c r="N15" i="2" s="1"/>
  <c r="Y41" i="7"/>
  <c r="D15" i="2" s="1"/>
  <c r="AB33" i="7"/>
  <c r="G40" i="2" s="1"/>
  <c r="AJ33" i="7"/>
  <c r="O40" i="2" s="1"/>
  <c r="AC33" i="7"/>
  <c r="H40" i="2" s="1"/>
  <c r="AK33" i="7"/>
  <c r="P40" i="2" s="1"/>
  <c r="AD33" i="7"/>
  <c r="I40" i="2" s="1"/>
  <c r="AE33" i="7"/>
  <c r="J40" i="2" s="1"/>
  <c r="AF33" i="7"/>
  <c r="K40" i="2" s="1"/>
  <c r="AH33" i="7"/>
  <c r="M40" i="2" s="1"/>
  <c r="AG33" i="7"/>
  <c r="L40" i="2" s="1"/>
  <c r="AI33" i="7"/>
  <c r="N40" i="2" s="1"/>
  <c r="Z33" i="7"/>
  <c r="E40" i="2" s="1"/>
  <c r="AA33" i="7"/>
  <c r="F40" i="2" s="1"/>
  <c r="X33" i="7"/>
  <c r="C40" i="2" s="1"/>
  <c r="AN26" i="6" s="1"/>
  <c r="Y33" i="7"/>
  <c r="D40" i="2" s="1"/>
  <c r="AB25" i="7"/>
  <c r="G59" i="2" s="1"/>
  <c r="AJ25" i="7"/>
  <c r="O59" i="2" s="1"/>
  <c r="AC25" i="7"/>
  <c r="H59" i="2" s="1"/>
  <c r="AK25" i="7"/>
  <c r="P59" i="2" s="1"/>
  <c r="AD25" i="7"/>
  <c r="I59" i="2" s="1"/>
  <c r="AE25" i="7"/>
  <c r="J59" i="2" s="1"/>
  <c r="AF25" i="7"/>
  <c r="K59" i="2" s="1"/>
  <c r="AH25" i="7"/>
  <c r="M59" i="2" s="1"/>
  <c r="AG25" i="7"/>
  <c r="L59" i="2" s="1"/>
  <c r="AI25" i="7"/>
  <c r="N59" i="2" s="1"/>
  <c r="Z25" i="7"/>
  <c r="E59" i="2" s="1"/>
  <c r="AA25" i="7"/>
  <c r="X25" i="7"/>
  <c r="C59" i="2" s="1"/>
  <c r="Y25" i="7"/>
  <c r="D59" i="2" s="1"/>
  <c r="AB17" i="7"/>
  <c r="G18" i="2" s="1"/>
  <c r="AS8" i="6" s="1"/>
  <c r="AJ17" i="7"/>
  <c r="O18" i="2" s="1"/>
  <c r="BE8" i="6" s="1"/>
  <c r="AC17" i="7"/>
  <c r="H18" i="2" s="1"/>
  <c r="AT8" i="6" s="1"/>
  <c r="AK17" i="7"/>
  <c r="P18" i="2" s="1"/>
  <c r="BF8" i="6" s="1"/>
  <c r="AD17" i="7"/>
  <c r="I18" i="2" s="1"/>
  <c r="AV8" i="6" s="1"/>
  <c r="AE17" i="7"/>
  <c r="J18" i="2" s="1"/>
  <c r="AF17" i="7"/>
  <c r="K18" i="2" s="1"/>
  <c r="AY8" i="6" s="1"/>
  <c r="AH17" i="7"/>
  <c r="M18" i="2" s="1"/>
  <c r="BB8" i="6" s="1"/>
  <c r="AG17" i="7"/>
  <c r="L18" i="2" s="1"/>
  <c r="Z17" i="7"/>
  <c r="AA17" i="7"/>
  <c r="F18" i="2" s="1"/>
  <c r="AR8" i="6" s="1"/>
  <c r="X17" i="7"/>
  <c r="C18" i="2" s="1"/>
  <c r="AN8" i="6" s="1"/>
  <c r="AI17" i="7"/>
  <c r="N18" i="2" s="1"/>
  <c r="Y17" i="7"/>
  <c r="D18" i="2" s="1"/>
  <c r="AO8" i="6" s="1"/>
  <c r="AB9" i="7"/>
  <c r="G25" i="2" s="1"/>
  <c r="AJ9" i="7"/>
  <c r="O25" i="2" s="1"/>
  <c r="AC9" i="7"/>
  <c r="H25" i="2" s="1"/>
  <c r="AK9" i="7"/>
  <c r="P25" i="2" s="1"/>
  <c r="AD9" i="7"/>
  <c r="I25" i="2" s="1"/>
  <c r="AE9" i="7"/>
  <c r="J25" i="2" s="1"/>
  <c r="AF9" i="7"/>
  <c r="K25" i="2" s="1"/>
  <c r="AH9" i="7"/>
  <c r="M25" i="2" s="1"/>
  <c r="AG9" i="7"/>
  <c r="L25" i="2" s="1"/>
  <c r="AI9" i="7"/>
  <c r="N25" i="2" s="1"/>
  <c r="X9" i="7"/>
  <c r="C25" i="2" s="1"/>
  <c r="Z9" i="7"/>
  <c r="E25" i="2" s="1"/>
  <c r="AA9" i="7"/>
  <c r="F25" i="2" s="1"/>
  <c r="AI160" i="7"/>
  <c r="AB160" i="7"/>
  <c r="AJ160" i="7"/>
  <c r="AC160" i="7"/>
  <c r="AK160" i="7"/>
  <c r="AD160" i="7"/>
  <c r="AF160" i="7"/>
  <c r="AG160" i="7"/>
  <c r="AA160" i="7"/>
  <c r="AE160" i="7"/>
  <c r="Y160" i="7"/>
  <c r="AH160" i="7"/>
  <c r="X160" i="7"/>
  <c r="AH152" i="7"/>
  <c r="AI152" i="7"/>
  <c r="AB152" i="7"/>
  <c r="AJ152" i="7"/>
  <c r="AC152" i="7"/>
  <c r="AK152" i="7"/>
  <c r="AD152" i="7"/>
  <c r="AF152" i="7"/>
  <c r="AA152" i="7"/>
  <c r="X152" i="7"/>
  <c r="AE152" i="7"/>
  <c r="Y152" i="7"/>
  <c r="AH144" i="7"/>
  <c r="AI144" i="7"/>
  <c r="AB144" i="7"/>
  <c r="AJ144" i="7"/>
  <c r="AC144" i="7"/>
  <c r="AK144" i="7"/>
  <c r="AD144" i="7"/>
  <c r="AF144" i="7"/>
  <c r="AG144" i="7"/>
  <c r="AA144" i="7"/>
  <c r="AE144" i="7"/>
  <c r="X144" i="7"/>
  <c r="Y144" i="7"/>
  <c r="AH136" i="7"/>
  <c r="AI136" i="7"/>
  <c r="AB136" i="7"/>
  <c r="AJ136" i="7"/>
  <c r="AC136" i="7"/>
  <c r="AK136" i="7"/>
  <c r="AD136" i="7"/>
  <c r="AE136" i="7"/>
  <c r="AG136" i="7"/>
  <c r="AF136" i="7"/>
  <c r="AA136" i="7"/>
  <c r="Y136" i="7"/>
  <c r="X136" i="7"/>
  <c r="AH128" i="7"/>
  <c r="AI128" i="7"/>
  <c r="AB128" i="7"/>
  <c r="AJ128" i="7"/>
  <c r="AC128" i="7"/>
  <c r="AK128" i="7"/>
  <c r="AD128" i="7"/>
  <c r="AE128" i="7"/>
  <c r="AF128" i="7"/>
  <c r="AA128" i="7"/>
  <c r="AG128" i="7"/>
  <c r="X128" i="7"/>
  <c r="Y128" i="7"/>
  <c r="AC120" i="7"/>
  <c r="AK120" i="7"/>
  <c r="AD120" i="7"/>
  <c r="AE120" i="7"/>
  <c r="AG120" i="7"/>
  <c r="AB120" i="7"/>
  <c r="AF120" i="7"/>
  <c r="AH120" i="7"/>
  <c r="AI120" i="7"/>
  <c r="AJ120" i="7"/>
  <c r="AA120" i="7"/>
  <c r="X120" i="7"/>
  <c r="Y120" i="7"/>
  <c r="AC112" i="7"/>
  <c r="AK112" i="7"/>
  <c r="AD112" i="7"/>
  <c r="AE112" i="7"/>
  <c r="AG112" i="7"/>
  <c r="AB112" i="7"/>
  <c r="AF112" i="7"/>
  <c r="AH112" i="7"/>
  <c r="AI112" i="7"/>
  <c r="AJ112" i="7"/>
  <c r="AA112" i="7"/>
  <c r="X112" i="7"/>
  <c r="Y112" i="7"/>
  <c r="AC104" i="7"/>
  <c r="AK104" i="7"/>
  <c r="AD104" i="7"/>
  <c r="AE104" i="7"/>
  <c r="AG104" i="7"/>
  <c r="AI104" i="7"/>
  <c r="AH104" i="7"/>
  <c r="AJ104" i="7"/>
  <c r="AB104" i="7"/>
  <c r="AF104" i="7"/>
  <c r="X104" i="7"/>
  <c r="Y104" i="7"/>
  <c r="AA104" i="7"/>
  <c r="Z104" i="7"/>
  <c r="AC96" i="7"/>
  <c r="AK96" i="7"/>
  <c r="AD96" i="7"/>
  <c r="AE96" i="7"/>
  <c r="AG96" i="7"/>
  <c r="AH96" i="7"/>
  <c r="AI96" i="7"/>
  <c r="AB96" i="7"/>
  <c r="AF96" i="7"/>
  <c r="AJ96" i="7"/>
  <c r="AA96" i="7"/>
  <c r="X96" i="7"/>
  <c r="Y96" i="7"/>
  <c r="Z96" i="7"/>
  <c r="AC88" i="7"/>
  <c r="AK88" i="7"/>
  <c r="AD88" i="7"/>
  <c r="AE88" i="7"/>
  <c r="AG88" i="7"/>
  <c r="AH88" i="7"/>
  <c r="AI88" i="7"/>
  <c r="AJ88" i="7"/>
  <c r="Y88" i="7"/>
  <c r="AB88" i="7"/>
  <c r="Z88" i="7"/>
  <c r="AF88" i="7"/>
  <c r="X88" i="7"/>
  <c r="AC80" i="7"/>
  <c r="AK80" i="7"/>
  <c r="AD80" i="7"/>
  <c r="AE80" i="7"/>
  <c r="AG80" i="7"/>
  <c r="AH80" i="7"/>
  <c r="AI80" i="7"/>
  <c r="AB80" i="7"/>
  <c r="AF80" i="7"/>
  <c r="AJ80" i="7"/>
  <c r="Y80" i="7"/>
  <c r="X80" i="7"/>
  <c r="Z80" i="7"/>
  <c r="AA80" i="7"/>
  <c r="AD72" i="7"/>
  <c r="AE72" i="7"/>
  <c r="AF72" i="7"/>
  <c r="AK72" i="7"/>
  <c r="AB72" i="7"/>
  <c r="AG72" i="7"/>
  <c r="AH72" i="7"/>
  <c r="AI72" i="7"/>
  <c r="AC72" i="7"/>
  <c r="AJ72" i="7"/>
  <c r="Y72" i="7"/>
  <c r="Z72" i="7"/>
  <c r="X72" i="7"/>
  <c r="AD64" i="7"/>
  <c r="AE64" i="7"/>
  <c r="AF64" i="7"/>
  <c r="AG64" i="7"/>
  <c r="AB64" i="7"/>
  <c r="AJ64" i="7"/>
  <c r="AC64" i="7"/>
  <c r="AH64" i="7"/>
  <c r="AI64" i="7"/>
  <c r="Y64" i="7"/>
  <c r="AK64" i="7"/>
  <c r="X64" i="7"/>
  <c r="Z64" i="7"/>
  <c r="AA64" i="7"/>
  <c r="AD48" i="7"/>
  <c r="I57" i="2" s="1"/>
  <c r="AE48" i="7"/>
  <c r="J57" i="2" s="1"/>
  <c r="AF48" i="7"/>
  <c r="K57" i="2" s="1"/>
  <c r="AG48" i="7"/>
  <c r="L57" i="2" s="1"/>
  <c r="AH48" i="7"/>
  <c r="M57" i="2" s="1"/>
  <c r="AB48" i="7"/>
  <c r="G57" i="2" s="1"/>
  <c r="AJ48" i="7"/>
  <c r="O57" i="2" s="1"/>
  <c r="AI48" i="7"/>
  <c r="N57" i="2" s="1"/>
  <c r="AK48" i="7"/>
  <c r="P57" i="2" s="1"/>
  <c r="AC48" i="7"/>
  <c r="H57" i="2" s="1"/>
  <c r="Y48" i="7"/>
  <c r="D57" i="2" s="1"/>
  <c r="Z48" i="7"/>
  <c r="E57" i="2" s="1"/>
  <c r="AA48" i="7"/>
  <c r="F57" i="2" s="1"/>
  <c r="Z152" i="7"/>
  <c r="Z128" i="7"/>
  <c r="Y97" i="7"/>
  <c r="Z144" i="7"/>
  <c r="Z136" i="7"/>
  <c r="AK161" i="7"/>
  <c r="AD32" i="7"/>
  <c r="I54" i="2" s="1"/>
  <c r="AE32" i="7"/>
  <c r="J54" i="2" s="1"/>
  <c r="AF32" i="7"/>
  <c r="K54" i="2" s="1"/>
  <c r="AG32" i="7"/>
  <c r="L54" i="2" s="1"/>
  <c r="AH32" i="7"/>
  <c r="M54" i="2" s="1"/>
  <c r="AB32" i="7"/>
  <c r="G54" i="2" s="1"/>
  <c r="AJ32" i="7"/>
  <c r="O54" i="2" s="1"/>
  <c r="AI32" i="7"/>
  <c r="N54" i="2" s="1"/>
  <c r="AK32" i="7"/>
  <c r="P54" i="2" s="1"/>
  <c r="AC32" i="7"/>
  <c r="H54" i="2" s="1"/>
  <c r="Y32" i="7"/>
  <c r="D54" i="2" s="1"/>
  <c r="Z32" i="7"/>
  <c r="E54" i="2" s="1"/>
  <c r="AD8" i="7"/>
  <c r="I13" i="2" s="1"/>
  <c r="AE8" i="7"/>
  <c r="J13" i="2" s="1"/>
  <c r="AF8" i="7"/>
  <c r="K13" i="2" s="1"/>
  <c r="AG8" i="7"/>
  <c r="L13" i="2" s="1"/>
  <c r="AH8" i="7"/>
  <c r="M13" i="2" s="1"/>
  <c r="AB8" i="7"/>
  <c r="G13" i="2" s="1"/>
  <c r="AJ8" i="7"/>
  <c r="O13" i="2" s="1"/>
  <c r="AI8" i="7"/>
  <c r="N13" i="2" s="1"/>
  <c r="AK8" i="7"/>
  <c r="P13" i="2" s="1"/>
  <c r="AC8" i="7"/>
  <c r="H13" i="2" s="1"/>
  <c r="X8" i="7"/>
  <c r="C13" i="2" s="1"/>
  <c r="Y8" i="7"/>
  <c r="D13" i="2" s="1"/>
  <c r="Z8" i="7"/>
  <c r="E13" i="2" s="1"/>
  <c r="AA8" i="7"/>
  <c r="F13" i="2" s="1"/>
  <c r="AD167" i="7"/>
  <c r="AE167" i="7"/>
  <c r="AF167" i="7"/>
  <c r="AC167" i="7"/>
  <c r="AG167" i="7"/>
  <c r="AI167" i="7"/>
  <c r="AJ167" i="7"/>
  <c r="AC159" i="7"/>
  <c r="AK159" i="7"/>
  <c r="AD159" i="7"/>
  <c r="AE159" i="7"/>
  <c r="AF159" i="7"/>
  <c r="AI159" i="7"/>
  <c r="AJ159" i="7"/>
  <c r="AG159" i="7"/>
  <c r="AB151" i="7"/>
  <c r="AJ151" i="7"/>
  <c r="AC151" i="7"/>
  <c r="AK151" i="7"/>
  <c r="AD151" i="7"/>
  <c r="AE151" i="7"/>
  <c r="AF151" i="7"/>
  <c r="AH151" i="7"/>
  <c r="AI151" i="7"/>
  <c r="AB143" i="7"/>
  <c r="AJ143" i="7"/>
  <c r="AC143" i="7"/>
  <c r="AK143" i="7"/>
  <c r="AD143" i="7"/>
  <c r="AE143" i="7"/>
  <c r="AF143" i="7"/>
  <c r="AG143" i="7"/>
  <c r="AI143" i="7"/>
  <c r="AB135" i="7"/>
  <c r="AJ135" i="7"/>
  <c r="AC135" i="7"/>
  <c r="AK135" i="7"/>
  <c r="AD135" i="7"/>
  <c r="AE135" i="7"/>
  <c r="AF135" i="7"/>
  <c r="AI135" i="7"/>
  <c r="AG135" i="7"/>
  <c r="AB127" i="7"/>
  <c r="AJ127" i="7"/>
  <c r="AC127" i="7"/>
  <c r="AK127" i="7"/>
  <c r="AD127" i="7"/>
  <c r="AE127" i="7"/>
  <c r="AF127" i="7"/>
  <c r="AG127" i="7"/>
  <c r="AH127" i="7"/>
  <c r="AE119" i="7"/>
  <c r="AF119" i="7"/>
  <c r="AG119" i="7"/>
  <c r="AI119" i="7"/>
  <c r="AB119" i="7"/>
  <c r="AC119" i="7"/>
  <c r="AD119" i="7"/>
  <c r="AH119" i="7"/>
  <c r="AJ119" i="7"/>
  <c r="AE111" i="7"/>
  <c r="AF111" i="7"/>
  <c r="AG111" i="7"/>
  <c r="AI111" i="7"/>
  <c r="AB111" i="7"/>
  <c r="AC111" i="7"/>
  <c r="AD111" i="7"/>
  <c r="AH111" i="7"/>
  <c r="AK111" i="7"/>
  <c r="X111" i="7"/>
  <c r="AE103" i="7"/>
  <c r="AF103" i="7"/>
  <c r="AG103" i="7"/>
  <c r="AI103" i="7"/>
  <c r="AB103" i="7"/>
  <c r="AC103" i="7"/>
  <c r="AK103" i="7"/>
  <c r="AD103" i="7"/>
  <c r="AH103" i="7"/>
  <c r="Z103" i="7"/>
  <c r="X103" i="7"/>
  <c r="AE95" i="7"/>
  <c r="AF95" i="7"/>
  <c r="AG95" i="7"/>
  <c r="AI95" i="7"/>
  <c r="AB95" i="7"/>
  <c r="AJ95" i="7"/>
  <c r="AC95" i="7"/>
  <c r="AK95" i="7"/>
  <c r="AH95" i="7"/>
  <c r="Z95" i="7"/>
  <c r="AD95" i="7"/>
  <c r="X95" i="7"/>
  <c r="AE87" i="7"/>
  <c r="AF87" i="7"/>
  <c r="AG87" i="7"/>
  <c r="AI87" i="7"/>
  <c r="AB87" i="7"/>
  <c r="AJ87" i="7"/>
  <c r="AC87" i="7"/>
  <c r="AK87" i="7"/>
  <c r="AD87" i="7"/>
  <c r="AH87" i="7"/>
  <c r="Z87" i="7"/>
  <c r="X87" i="7"/>
  <c r="AE79" i="7"/>
  <c r="AF79" i="7"/>
  <c r="AG79" i="7"/>
  <c r="AI79" i="7"/>
  <c r="AB79" i="7"/>
  <c r="AJ79" i="7"/>
  <c r="AC79" i="7"/>
  <c r="AK79" i="7"/>
  <c r="AH79" i="7"/>
  <c r="Z79" i="7"/>
  <c r="X79" i="7"/>
  <c r="AF71" i="7"/>
  <c r="AG71" i="7"/>
  <c r="AH71" i="7"/>
  <c r="AD71" i="7"/>
  <c r="AJ71" i="7"/>
  <c r="AK71" i="7"/>
  <c r="AB71" i="7"/>
  <c r="AC71" i="7"/>
  <c r="AE71" i="7"/>
  <c r="Z71" i="7"/>
  <c r="X71" i="7"/>
  <c r="AF63" i="7"/>
  <c r="AG63" i="7"/>
  <c r="AH63" i="7"/>
  <c r="AI63" i="7"/>
  <c r="AB63" i="7"/>
  <c r="AD63" i="7"/>
  <c r="AC63" i="7"/>
  <c r="AE63" i="7"/>
  <c r="AJ63" i="7"/>
  <c r="AK63" i="7"/>
  <c r="Z63" i="7"/>
  <c r="AA63" i="7"/>
  <c r="X63" i="7"/>
  <c r="AF55" i="7"/>
  <c r="K24" i="2" s="1"/>
  <c r="AG55" i="7"/>
  <c r="L24" i="2" s="1"/>
  <c r="AH55" i="7"/>
  <c r="M24" i="2" s="1"/>
  <c r="AI55" i="7"/>
  <c r="N24" i="2" s="1"/>
  <c r="AB55" i="7"/>
  <c r="G24" i="2" s="1"/>
  <c r="AJ55" i="7"/>
  <c r="O24" i="2" s="1"/>
  <c r="BE55" i="6" s="1"/>
  <c r="AD55" i="7"/>
  <c r="I24" i="2" s="1"/>
  <c r="AC55" i="7"/>
  <c r="H24" i="2" s="1"/>
  <c r="AE55" i="7"/>
  <c r="J24" i="2" s="1"/>
  <c r="AK55" i="7"/>
  <c r="P24" i="2" s="1"/>
  <c r="Z55" i="7"/>
  <c r="AA55" i="7"/>
  <c r="X55" i="7"/>
  <c r="C24" i="2" s="1"/>
  <c r="AF47" i="7"/>
  <c r="K17" i="2" s="1"/>
  <c r="AG47" i="7"/>
  <c r="L17" i="2" s="1"/>
  <c r="AH47" i="7"/>
  <c r="M17" i="2" s="1"/>
  <c r="AI47" i="7"/>
  <c r="N17" i="2" s="1"/>
  <c r="BC50" i="6" s="1"/>
  <c r="AB47" i="7"/>
  <c r="G17" i="2" s="1"/>
  <c r="AJ47" i="7"/>
  <c r="O17" i="2" s="1"/>
  <c r="AD47" i="7"/>
  <c r="I17" i="2" s="1"/>
  <c r="AC47" i="7"/>
  <c r="H17" i="2" s="1"/>
  <c r="AE47" i="7"/>
  <c r="J17" i="2" s="1"/>
  <c r="AK47" i="7"/>
  <c r="P17" i="2" s="1"/>
  <c r="Z47" i="7"/>
  <c r="E17" i="2" s="1"/>
  <c r="AA47" i="7"/>
  <c r="F17" i="2" s="1"/>
  <c r="X47" i="7"/>
  <c r="C17" i="2" s="1"/>
  <c r="AF39" i="7"/>
  <c r="K37" i="2" s="1"/>
  <c r="AG39" i="7"/>
  <c r="L37" i="2" s="1"/>
  <c r="AZ39" i="6" s="1"/>
  <c r="AH39" i="7"/>
  <c r="M37" i="2" s="1"/>
  <c r="BB39" i="6" s="1"/>
  <c r="AI39" i="7"/>
  <c r="N37" i="2" s="1"/>
  <c r="AB39" i="7"/>
  <c r="G37" i="2" s="1"/>
  <c r="AJ39" i="7"/>
  <c r="O37" i="2" s="1"/>
  <c r="AD39" i="7"/>
  <c r="I37" i="2" s="1"/>
  <c r="AC39" i="7"/>
  <c r="H37" i="2" s="1"/>
  <c r="AE39" i="7"/>
  <c r="J37" i="2" s="1"/>
  <c r="AK39" i="7"/>
  <c r="P37" i="2" s="1"/>
  <c r="BF39" i="6" s="1"/>
  <c r="Z39" i="7"/>
  <c r="AA39" i="7"/>
  <c r="X39" i="7"/>
  <c r="C37" i="2" s="1"/>
  <c r="AF31" i="7"/>
  <c r="K35" i="2" s="1"/>
  <c r="AG31" i="7"/>
  <c r="L35" i="2" s="1"/>
  <c r="AH31" i="7"/>
  <c r="M35" i="2" s="1"/>
  <c r="BB25" i="6" s="1"/>
  <c r="AI31" i="7"/>
  <c r="N35" i="2" s="1"/>
  <c r="AB31" i="7"/>
  <c r="G35" i="2" s="1"/>
  <c r="AJ31" i="7"/>
  <c r="O35" i="2" s="1"/>
  <c r="AD31" i="7"/>
  <c r="I35" i="2" s="1"/>
  <c r="AC31" i="7"/>
  <c r="H35" i="2" s="1"/>
  <c r="AE31" i="7"/>
  <c r="J35" i="2" s="1"/>
  <c r="AK31" i="7"/>
  <c r="P35" i="2" s="1"/>
  <c r="Z31" i="7"/>
  <c r="AA31" i="7"/>
  <c r="F35" i="2" s="1"/>
  <c r="X31" i="7"/>
  <c r="C35" i="2" s="1"/>
  <c r="AF23" i="7"/>
  <c r="AG23" i="7"/>
  <c r="AH23" i="7"/>
  <c r="AI23" i="7"/>
  <c r="AB23" i="7"/>
  <c r="AJ23" i="7"/>
  <c r="AD23" i="7"/>
  <c r="AC23" i="7"/>
  <c r="AE23" i="7"/>
  <c r="AK23" i="7"/>
  <c r="Z23" i="7"/>
  <c r="AA23" i="7"/>
  <c r="X23" i="7"/>
  <c r="AF15" i="7"/>
  <c r="K39" i="2" s="1"/>
  <c r="AG15" i="7"/>
  <c r="L39" i="2" s="1"/>
  <c r="AH15" i="7"/>
  <c r="M39" i="2" s="1"/>
  <c r="AI15" i="7"/>
  <c r="N39" i="2" s="1"/>
  <c r="AB15" i="7"/>
  <c r="G39" i="2" s="1"/>
  <c r="AJ15" i="7"/>
  <c r="O39" i="2" s="1"/>
  <c r="AD15" i="7"/>
  <c r="I39" i="2" s="1"/>
  <c r="AC15" i="7"/>
  <c r="H39" i="2" s="1"/>
  <c r="AE15" i="7"/>
  <c r="J39" i="2" s="1"/>
  <c r="AK15" i="7"/>
  <c r="P39" i="2" s="1"/>
  <c r="Z15" i="7"/>
  <c r="AA15" i="7"/>
  <c r="X15" i="7"/>
  <c r="C39" i="2" s="1"/>
  <c r="AF7" i="7"/>
  <c r="K52" i="2" s="1"/>
  <c r="AG7" i="7"/>
  <c r="L52" i="2" s="1"/>
  <c r="AH7" i="7"/>
  <c r="M52" i="2" s="1"/>
  <c r="AI7" i="7"/>
  <c r="N52" i="2" s="1"/>
  <c r="AB7" i="7"/>
  <c r="G52" i="2" s="1"/>
  <c r="AJ7" i="7"/>
  <c r="O52" i="2" s="1"/>
  <c r="AD7" i="7"/>
  <c r="I52" i="2" s="1"/>
  <c r="AC7" i="7"/>
  <c r="H52" i="2" s="1"/>
  <c r="AE7" i="7"/>
  <c r="J52" i="2" s="1"/>
  <c r="AK7" i="7"/>
  <c r="P52" i="2" s="1"/>
  <c r="Y7" i="7"/>
  <c r="D52" i="2" s="1"/>
  <c r="Z7" i="7"/>
  <c r="X164" i="7"/>
  <c r="X162" i="7"/>
  <c r="X156" i="7"/>
  <c r="X154" i="7"/>
  <c r="X138" i="7"/>
  <c r="X134" i="7"/>
  <c r="X122" i="7"/>
  <c r="AA109" i="7"/>
  <c r="X94" i="7"/>
  <c r="Y91" i="7"/>
  <c r="AA84" i="7"/>
  <c r="AA68" i="7"/>
  <c r="AA60" i="7"/>
  <c r="X7" i="7"/>
  <c r="C52" i="2" s="1"/>
  <c r="AC165" i="7"/>
  <c r="AG151" i="7"/>
  <c r="AI139" i="7"/>
  <c r="AJ111" i="7"/>
  <c r="AI71" i="7"/>
  <c r="AD56" i="7"/>
  <c r="AE56" i="7"/>
  <c r="AF56" i="7"/>
  <c r="AG56" i="7"/>
  <c r="AH56" i="7"/>
  <c r="AB56" i="7"/>
  <c r="AJ56" i="7"/>
  <c r="AI56" i="7"/>
  <c r="AK56" i="7"/>
  <c r="AC56" i="7"/>
  <c r="Y56" i="7"/>
  <c r="AD40" i="7"/>
  <c r="I34" i="2" s="1"/>
  <c r="AV40" i="6" s="1"/>
  <c r="AE40" i="7"/>
  <c r="J34" i="2" s="1"/>
  <c r="AF40" i="7"/>
  <c r="K34" i="2" s="1"/>
  <c r="AG40" i="7"/>
  <c r="L34" i="2" s="1"/>
  <c r="AH40" i="7"/>
  <c r="M34" i="2" s="1"/>
  <c r="AB40" i="7"/>
  <c r="G34" i="2" s="1"/>
  <c r="AJ40" i="7"/>
  <c r="O34" i="2" s="1"/>
  <c r="BE40" i="6" s="1"/>
  <c r="AI40" i="7"/>
  <c r="N34" i="2" s="1"/>
  <c r="AK40" i="7"/>
  <c r="P34" i="2" s="1"/>
  <c r="BF40" i="6" s="1"/>
  <c r="Y40" i="7"/>
  <c r="D34" i="2" s="1"/>
  <c r="Z40" i="7"/>
  <c r="AC40" i="7"/>
  <c r="H34" i="2" s="1"/>
  <c r="AD16" i="7"/>
  <c r="I20" i="2" s="1"/>
  <c r="AE16" i="7"/>
  <c r="J20" i="2" s="1"/>
  <c r="AF16" i="7"/>
  <c r="K20" i="2" s="1"/>
  <c r="AG16" i="7"/>
  <c r="L20" i="2" s="1"/>
  <c r="AH16" i="7"/>
  <c r="M20" i="2" s="1"/>
  <c r="AB16" i="7"/>
  <c r="G20" i="2" s="1"/>
  <c r="AJ16" i="7"/>
  <c r="O20" i="2" s="1"/>
  <c r="AI16" i="7"/>
  <c r="N20" i="2" s="1"/>
  <c r="BC7" i="6" s="1"/>
  <c r="AK16" i="7"/>
  <c r="P20" i="2" s="1"/>
  <c r="AC16" i="7"/>
  <c r="H20" i="2" s="1"/>
  <c r="Y16" i="7"/>
  <c r="D20" i="2" s="1"/>
  <c r="Z16" i="7"/>
  <c r="E20" i="2" s="1"/>
  <c r="AF166" i="7"/>
  <c r="AG166" i="7"/>
  <c r="AH166" i="7"/>
  <c r="AB166" i="7"/>
  <c r="AC166" i="7"/>
  <c r="AE166" i="7"/>
  <c r="AI166" i="7"/>
  <c r="AK166" i="7"/>
  <c r="AE158" i="7"/>
  <c r="AF158" i="7"/>
  <c r="AG158" i="7"/>
  <c r="AH158" i="7"/>
  <c r="AC158" i="7"/>
  <c r="AD158" i="7"/>
  <c r="AJ158" i="7"/>
  <c r="AK158" i="7"/>
  <c r="AD150" i="7"/>
  <c r="AE150" i="7"/>
  <c r="AF150" i="7"/>
  <c r="AG150" i="7"/>
  <c r="AH150" i="7"/>
  <c r="AJ150" i="7"/>
  <c r="AK150" i="7"/>
  <c r="AC150" i="7"/>
  <c r="AD142" i="7"/>
  <c r="AE142" i="7"/>
  <c r="AF142" i="7"/>
  <c r="AG142" i="7"/>
  <c r="AH142" i="7"/>
  <c r="AC142" i="7"/>
  <c r="AI142" i="7"/>
  <c r="AK142" i="7"/>
  <c r="AD134" i="7"/>
  <c r="AE134" i="7"/>
  <c r="AF134" i="7"/>
  <c r="AG134" i="7"/>
  <c r="AH134" i="7"/>
  <c r="AB134" i="7"/>
  <c r="AI134" i="7"/>
  <c r="AJ134" i="7"/>
  <c r="AD126" i="7"/>
  <c r="AE126" i="7"/>
  <c r="AF126" i="7"/>
  <c r="AG126" i="7"/>
  <c r="AH126" i="7"/>
  <c r="AB126" i="7"/>
  <c r="AC126" i="7"/>
  <c r="AJ126" i="7"/>
  <c r="AG118" i="7"/>
  <c r="AH118" i="7"/>
  <c r="AI118" i="7"/>
  <c r="AC118" i="7"/>
  <c r="AK118" i="7"/>
  <c r="AF118" i="7"/>
  <c r="AJ118" i="7"/>
  <c r="AD118" i="7"/>
  <c r="AG110" i="7"/>
  <c r="AH110" i="7"/>
  <c r="AI110" i="7"/>
  <c r="AC110" i="7"/>
  <c r="AK110" i="7"/>
  <c r="AF110" i="7"/>
  <c r="AJ110" i="7"/>
  <c r="AE110" i="7"/>
  <c r="AB110" i="7"/>
  <c r="AG102" i="7"/>
  <c r="AH102" i="7"/>
  <c r="AI102" i="7"/>
  <c r="AC102" i="7"/>
  <c r="AK102" i="7"/>
  <c r="AD102" i="7"/>
  <c r="AE102" i="7"/>
  <c r="AB102" i="7"/>
  <c r="AF102" i="7"/>
  <c r="AJ102" i="7"/>
  <c r="AG94" i="7"/>
  <c r="AH94" i="7"/>
  <c r="AI94" i="7"/>
  <c r="AC94" i="7"/>
  <c r="AK94" i="7"/>
  <c r="AD94" i="7"/>
  <c r="AE94" i="7"/>
  <c r="AB94" i="7"/>
  <c r="AF94" i="7"/>
  <c r="AG86" i="7"/>
  <c r="AH86" i="7"/>
  <c r="AI86" i="7"/>
  <c r="AC86" i="7"/>
  <c r="AK86" i="7"/>
  <c r="AD86" i="7"/>
  <c r="AE86" i="7"/>
  <c r="AB86" i="7"/>
  <c r="AF86" i="7"/>
  <c r="AJ86" i="7"/>
  <c r="Y86" i="7"/>
  <c r="AG78" i="7"/>
  <c r="AH78" i="7"/>
  <c r="AI78" i="7"/>
  <c r="AC78" i="7"/>
  <c r="AK78" i="7"/>
  <c r="AD78" i="7"/>
  <c r="AE78" i="7"/>
  <c r="AB78" i="7"/>
  <c r="Y78" i="7"/>
  <c r="AJ78" i="7"/>
  <c r="AH70" i="7"/>
  <c r="AI70" i="7"/>
  <c r="AB70" i="7"/>
  <c r="AJ70" i="7"/>
  <c r="AF70" i="7"/>
  <c r="AD70" i="7"/>
  <c r="AE70" i="7"/>
  <c r="AG70" i="7"/>
  <c r="AC70" i="7"/>
  <c r="AK70" i="7"/>
  <c r="Y70" i="7"/>
  <c r="AH62" i="7"/>
  <c r="AI62" i="7"/>
  <c r="AB62" i="7"/>
  <c r="AJ62" i="7"/>
  <c r="AC62" i="7"/>
  <c r="AK62" i="7"/>
  <c r="AD62" i="7"/>
  <c r="AF62" i="7"/>
  <c r="AE62" i="7"/>
  <c r="AG62" i="7"/>
  <c r="Y62" i="7"/>
  <c r="AH54" i="7"/>
  <c r="M46" i="2" s="1"/>
  <c r="AI54" i="7"/>
  <c r="N46" i="2" s="1"/>
  <c r="AB54" i="7"/>
  <c r="G46" i="2" s="1"/>
  <c r="AJ54" i="7"/>
  <c r="O46" i="2" s="1"/>
  <c r="AC54" i="7"/>
  <c r="H46" i="2" s="1"/>
  <c r="AK54" i="7"/>
  <c r="P46" i="2" s="1"/>
  <c r="AD54" i="7"/>
  <c r="I46" i="2" s="1"/>
  <c r="AF54" i="7"/>
  <c r="K46" i="2" s="1"/>
  <c r="AE54" i="7"/>
  <c r="J46" i="2" s="1"/>
  <c r="Y54" i="7"/>
  <c r="D46" i="2" s="1"/>
  <c r="Z54" i="7"/>
  <c r="E46" i="2" s="1"/>
  <c r="AH46" i="7"/>
  <c r="M22" i="2" s="1"/>
  <c r="AI46" i="7"/>
  <c r="N22" i="2" s="1"/>
  <c r="AB46" i="7"/>
  <c r="G22" i="2" s="1"/>
  <c r="AJ46" i="7"/>
  <c r="O22" i="2" s="1"/>
  <c r="AC46" i="7"/>
  <c r="H22" i="2" s="1"/>
  <c r="AK46" i="7"/>
  <c r="P22" i="2" s="1"/>
  <c r="AD46" i="7"/>
  <c r="I22" i="2" s="1"/>
  <c r="AF46" i="7"/>
  <c r="K22" i="2" s="1"/>
  <c r="AE46" i="7"/>
  <c r="J22" i="2" s="1"/>
  <c r="AG46" i="7"/>
  <c r="L22" i="2" s="1"/>
  <c r="Y46" i="7"/>
  <c r="D22" i="2" s="1"/>
  <c r="Z46" i="7"/>
  <c r="AH38" i="7"/>
  <c r="M42" i="2" s="1"/>
  <c r="BB38" i="6" s="1"/>
  <c r="AI38" i="7"/>
  <c r="N42" i="2" s="1"/>
  <c r="BC38" i="6" s="1"/>
  <c r="AB38" i="7"/>
  <c r="G42" i="2" s="1"/>
  <c r="AS38" i="6" s="1"/>
  <c r="AJ38" i="7"/>
  <c r="O42" i="2" s="1"/>
  <c r="AC38" i="7"/>
  <c r="H42" i="2" s="1"/>
  <c r="AT38" i="6" s="1"/>
  <c r="AK38" i="7"/>
  <c r="P42" i="2" s="1"/>
  <c r="BF38" i="6" s="1"/>
  <c r="AD38" i="7"/>
  <c r="I42" i="2" s="1"/>
  <c r="AF38" i="7"/>
  <c r="K42" i="2" s="1"/>
  <c r="AY38" i="6" s="1"/>
  <c r="AE38" i="7"/>
  <c r="J42" i="2" s="1"/>
  <c r="AW38" i="6" s="1"/>
  <c r="AG38" i="7"/>
  <c r="L42" i="2" s="1"/>
  <c r="Y38" i="7"/>
  <c r="D42" i="2" s="1"/>
  <c r="AO38" i="6" s="1"/>
  <c r="Z38" i="7"/>
  <c r="AH30" i="7"/>
  <c r="M38" i="2" s="1"/>
  <c r="BB23" i="6" s="1"/>
  <c r="AI30" i="7"/>
  <c r="N38" i="2" s="1"/>
  <c r="BC23" i="6" s="1"/>
  <c r="AB30" i="7"/>
  <c r="G38" i="2" s="1"/>
  <c r="AS23" i="6" s="1"/>
  <c r="AJ30" i="7"/>
  <c r="O38" i="2" s="1"/>
  <c r="BE23" i="6" s="1"/>
  <c r="AC30" i="7"/>
  <c r="H38" i="2" s="1"/>
  <c r="AK30" i="7"/>
  <c r="P38" i="2" s="1"/>
  <c r="BF23" i="6" s="1"/>
  <c r="AD30" i="7"/>
  <c r="I38" i="2" s="1"/>
  <c r="AF30" i="7"/>
  <c r="K38" i="2" s="1"/>
  <c r="AY23" i="6" s="1"/>
  <c r="AE30" i="7"/>
  <c r="J38" i="2" s="1"/>
  <c r="AW23" i="6" s="1"/>
  <c r="Y30" i="7"/>
  <c r="D38" i="2" s="1"/>
  <c r="AO23" i="6" s="1"/>
  <c r="Z30" i="7"/>
  <c r="AH22" i="7"/>
  <c r="M58" i="2" s="1"/>
  <c r="BB13" i="6" s="1"/>
  <c r="AI22" i="7"/>
  <c r="N58" i="2" s="1"/>
  <c r="BC13" i="6" s="1"/>
  <c r="AB22" i="7"/>
  <c r="G58" i="2" s="1"/>
  <c r="AJ22" i="7"/>
  <c r="O58" i="2" s="1"/>
  <c r="BE13" i="6" s="1"/>
  <c r="AC22" i="7"/>
  <c r="H58" i="2" s="1"/>
  <c r="AK22" i="7"/>
  <c r="P58" i="2" s="1"/>
  <c r="AD22" i="7"/>
  <c r="I58" i="2" s="1"/>
  <c r="AF22" i="7"/>
  <c r="K58" i="2" s="1"/>
  <c r="AY13" i="6" s="1"/>
  <c r="AE22" i="7"/>
  <c r="J58" i="2" s="1"/>
  <c r="AG22" i="7"/>
  <c r="L58" i="2" s="1"/>
  <c r="AZ13" i="6" s="1"/>
  <c r="Y22" i="7"/>
  <c r="D58" i="2" s="1"/>
  <c r="AO13" i="6" s="1"/>
  <c r="Z22" i="7"/>
  <c r="AH14" i="7"/>
  <c r="M28" i="2" s="1"/>
  <c r="AI14" i="7"/>
  <c r="N28" i="2" s="1"/>
  <c r="AB14" i="7"/>
  <c r="G28" i="2" s="1"/>
  <c r="AJ14" i="7"/>
  <c r="O28" i="2" s="1"/>
  <c r="AC14" i="7"/>
  <c r="H28" i="2" s="1"/>
  <c r="AK14" i="7"/>
  <c r="P28" i="2" s="1"/>
  <c r="AD14" i="7"/>
  <c r="I28" i="2" s="1"/>
  <c r="AF14" i="7"/>
  <c r="K28" i="2" s="1"/>
  <c r="AE14" i="7"/>
  <c r="J28" i="2" s="1"/>
  <c r="X14" i="7"/>
  <c r="C28" i="2" s="1"/>
  <c r="Z14" i="7"/>
  <c r="AG14" i="7"/>
  <c r="L28" i="2" s="1"/>
  <c r="Y14" i="7"/>
  <c r="D28" i="2" s="1"/>
  <c r="AH6" i="7"/>
  <c r="M11" i="2" s="1"/>
  <c r="AI6" i="7"/>
  <c r="N11" i="2" s="1"/>
  <c r="AB6" i="7"/>
  <c r="G11" i="2" s="1"/>
  <c r="AJ6" i="7"/>
  <c r="O11" i="2" s="1"/>
  <c r="AC6" i="7"/>
  <c r="H11" i="2" s="1"/>
  <c r="AK6" i="7"/>
  <c r="P11" i="2" s="1"/>
  <c r="AD6" i="7"/>
  <c r="I11" i="2" s="1"/>
  <c r="AV3" i="6" s="1"/>
  <c r="AF6" i="7"/>
  <c r="K11" i="2" s="1"/>
  <c r="AE6" i="7"/>
  <c r="J11" i="2" s="1"/>
  <c r="AG6" i="7"/>
  <c r="L11" i="2" s="1"/>
  <c r="X6" i="7"/>
  <c r="C11" i="2" s="1"/>
  <c r="Y6" i="7"/>
  <c r="D11" i="2" s="1"/>
  <c r="Z6" i="7"/>
  <c r="E11" i="2" s="1"/>
  <c r="AA6" i="7"/>
  <c r="AA167" i="7"/>
  <c r="AA163" i="7"/>
  <c r="AA159" i="7"/>
  <c r="AA155" i="7"/>
  <c r="AA151" i="7"/>
  <c r="AA147" i="7"/>
  <c r="AA143" i="7"/>
  <c r="AA139" i="7"/>
  <c r="AA135" i="7"/>
  <c r="AA133" i="7"/>
  <c r="AA131" i="7"/>
  <c r="AA127" i="7"/>
  <c r="AA123" i="7"/>
  <c r="AA119" i="7"/>
  <c r="AA115" i="7"/>
  <c r="AA111" i="7"/>
  <c r="AA106" i="7"/>
  <c r="AA98" i="7"/>
  <c r="AA90" i="7"/>
  <c r="AA87" i="7"/>
  <c r="Z84" i="7"/>
  <c r="X78" i="7"/>
  <c r="AA74" i="7"/>
  <c r="AA71" i="7"/>
  <c r="Z68" i="7"/>
  <c r="Z60" i="7"/>
  <c r="Z56" i="7"/>
  <c r="X46" i="7"/>
  <c r="C22" i="2" s="1"/>
  <c r="AA40" i="7"/>
  <c r="X30" i="7"/>
  <c r="C38" i="2" s="1"/>
  <c r="AN23" i="6" s="1"/>
  <c r="AA24" i="7"/>
  <c r="F56" i="2" s="1"/>
  <c r="AK167" i="7"/>
  <c r="AJ155" i="7"/>
  <c r="AI150" i="7"/>
  <c r="AG139" i="7"/>
  <c r="AI127" i="7"/>
  <c r="AD110" i="7"/>
  <c r="AC66" i="7"/>
  <c r="AH165" i="7"/>
  <c r="AI165" i="7"/>
  <c r="AB165" i="7"/>
  <c r="AJ165" i="7"/>
  <c r="AD165" i="7"/>
  <c r="AE165" i="7"/>
  <c r="AG165" i="7"/>
  <c r="AG157" i="7"/>
  <c r="AH157" i="7"/>
  <c r="AI157" i="7"/>
  <c r="AB157" i="7"/>
  <c r="AJ157" i="7"/>
  <c r="AD157" i="7"/>
  <c r="AE157" i="7"/>
  <c r="AK157" i="7"/>
  <c r="AF149" i="7"/>
  <c r="AG149" i="7"/>
  <c r="AH149" i="7"/>
  <c r="AI149" i="7"/>
  <c r="AB149" i="7"/>
  <c r="AJ149" i="7"/>
  <c r="AC149" i="7"/>
  <c r="AE149" i="7"/>
  <c r="AK149" i="7"/>
  <c r="AF141" i="7"/>
  <c r="AG141" i="7"/>
  <c r="AH141" i="7"/>
  <c r="AI141" i="7"/>
  <c r="AB141" i="7"/>
  <c r="AJ141" i="7"/>
  <c r="AC141" i="7"/>
  <c r="AD141" i="7"/>
  <c r="AK141" i="7"/>
  <c r="AF133" i="7"/>
  <c r="AG133" i="7"/>
  <c r="AH133" i="7"/>
  <c r="AI133" i="7"/>
  <c r="AB133" i="7"/>
  <c r="AJ133" i="7"/>
  <c r="AK133" i="7"/>
  <c r="AD133" i="7"/>
  <c r="AF125" i="7"/>
  <c r="AG125" i="7"/>
  <c r="AH125" i="7"/>
  <c r="AI125" i="7"/>
  <c r="AB125" i="7"/>
  <c r="AJ125" i="7"/>
  <c r="AD125" i="7"/>
  <c r="AE125" i="7"/>
  <c r="AI117" i="7"/>
  <c r="AB117" i="7"/>
  <c r="AJ117" i="7"/>
  <c r="AC117" i="7"/>
  <c r="AK117" i="7"/>
  <c r="AE117" i="7"/>
  <c r="AD117" i="7"/>
  <c r="AF117" i="7"/>
  <c r="AG117" i="7"/>
  <c r="AH117" i="7"/>
  <c r="AI109" i="7"/>
  <c r="AB109" i="7"/>
  <c r="AJ109" i="7"/>
  <c r="AC109" i="7"/>
  <c r="AK109" i="7"/>
  <c r="AE109" i="7"/>
  <c r="AD109" i="7"/>
  <c r="AF109" i="7"/>
  <c r="AG109" i="7"/>
  <c r="AH109" i="7"/>
  <c r="X109" i="7"/>
  <c r="AI101" i="7"/>
  <c r="AB101" i="7"/>
  <c r="AJ101" i="7"/>
  <c r="AC101" i="7"/>
  <c r="AK101" i="7"/>
  <c r="AE101" i="7"/>
  <c r="AF101" i="7"/>
  <c r="AG101" i="7"/>
  <c r="Z101" i="7"/>
  <c r="AD101" i="7"/>
  <c r="AH101" i="7"/>
  <c r="X101" i="7"/>
  <c r="AI93" i="7"/>
  <c r="AB93" i="7"/>
  <c r="AJ93" i="7"/>
  <c r="AC93" i="7"/>
  <c r="AK93" i="7"/>
  <c r="AE93" i="7"/>
  <c r="AF93" i="7"/>
  <c r="AG93" i="7"/>
  <c r="AD93" i="7"/>
  <c r="AH93" i="7"/>
  <c r="Z93" i="7"/>
  <c r="X93" i="7"/>
  <c r="AI85" i="7"/>
  <c r="AB85" i="7"/>
  <c r="AJ85" i="7"/>
  <c r="AC85" i="7"/>
  <c r="AK85" i="7"/>
  <c r="AE85" i="7"/>
  <c r="AF85" i="7"/>
  <c r="AG85" i="7"/>
  <c r="Z85" i="7"/>
  <c r="AD85" i="7"/>
  <c r="X85" i="7"/>
  <c r="AI77" i="7"/>
  <c r="AB77" i="7"/>
  <c r="AJ77" i="7"/>
  <c r="AC77" i="7"/>
  <c r="AK77" i="7"/>
  <c r="AE77" i="7"/>
  <c r="AF77" i="7"/>
  <c r="AG77" i="7"/>
  <c r="AD77" i="7"/>
  <c r="AH77" i="7"/>
  <c r="Z77" i="7"/>
  <c r="X77" i="7"/>
  <c r="AB69" i="7"/>
  <c r="AJ69" i="7"/>
  <c r="AC69" i="7"/>
  <c r="AK69" i="7"/>
  <c r="AD69" i="7"/>
  <c r="AH69" i="7"/>
  <c r="AF69" i="7"/>
  <c r="AG69" i="7"/>
  <c r="AI69" i="7"/>
  <c r="AE69" i="7"/>
  <c r="Z69" i="7"/>
  <c r="X69" i="7"/>
  <c r="AB61" i="7"/>
  <c r="AJ61" i="7"/>
  <c r="AC61" i="7"/>
  <c r="AK61" i="7"/>
  <c r="AD61" i="7"/>
  <c r="AE61" i="7"/>
  <c r="AF61" i="7"/>
  <c r="AH61" i="7"/>
  <c r="AG61" i="7"/>
  <c r="AI61" i="7"/>
  <c r="Z61" i="7"/>
  <c r="AA61" i="7"/>
  <c r="X61" i="7"/>
  <c r="AB53" i="7"/>
  <c r="G49" i="2" s="1"/>
  <c r="AJ53" i="7"/>
  <c r="O49" i="2" s="1"/>
  <c r="AC53" i="7"/>
  <c r="H49" i="2" s="1"/>
  <c r="AK53" i="7"/>
  <c r="P49" i="2" s="1"/>
  <c r="AD53" i="7"/>
  <c r="I49" i="2" s="1"/>
  <c r="AE53" i="7"/>
  <c r="J49" i="2" s="1"/>
  <c r="AF53" i="7"/>
  <c r="K49" i="2" s="1"/>
  <c r="AH53" i="7"/>
  <c r="M49" i="2" s="1"/>
  <c r="AG53" i="7"/>
  <c r="L49" i="2" s="1"/>
  <c r="AI53" i="7"/>
  <c r="N49" i="2" s="1"/>
  <c r="Z53" i="7"/>
  <c r="E49" i="2" s="1"/>
  <c r="AA53" i="7"/>
  <c r="F49" i="2" s="1"/>
  <c r="X53" i="7"/>
  <c r="C49" i="2" s="1"/>
  <c r="AB45" i="7"/>
  <c r="G23" i="2" s="1"/>
  <c r="AJ45" i="7"/>
  <c r="O23" i="2" s="1"/>
  <c r="AC45" i="7"/>
  <c r="H23" i="2" s="1"/>
  <c r="AK45" i="7"/>
  <c r="P23" i="2" s="1"/>
  <c r="AD45" i="7"/>
  <c r="I23" i="2" s="1"/>
  <c r="AE45" i="7"/>
  <c r="J23" i="2" s="1"/>
  <c r="AF45" i="7"/>
  <c r="K23" i="2" s="1"/>
  <c r="AH45" i="7"/>
  <c r="M23" i="2" s="1"/>
  <c r="AG45" i="7"/>
  <c r="L23" i="2" s="1"/>
  <c r="AI45" i="7"/>
  <c r="N23" i="2" s="1"/>
  <c r="Z45" i="7"/>
  <c r="AA45" i="7"/>
  <c r="F23" i="2" s="1"/>
  <c r="X45" i="7"/>
  <c r="C23" i="2" s="1"/>
  <c r="AB37" i="7"/>
  <c r="G44" i="2" s="1"/>
  <c r="AJ37" i="7"/>
  <c r="O44" i="2" s="1"/>
  <c r="AC37" i="7"/>
  <c r="H44" i="2" s="1"/>
  <c r="AK37" i="7"/>
  <c r="P44" i="2" s="1"/>
  <c r="AD37" i="7"/>
  <c r="I44" i="2" s="1"/>
  <c r="AE37" i="7"/>
  <c r="J44" i="2" s="1"/>
  <c r="AF37" i="7"/>
  <c r="K44" i="2" s="1"/>
  <c r="AH37" i="7"/>
  <c r="M44" i="2" s="1"/>
  <c r="AG37" i="7"/>
  <c r="L44" i="2" s="1"/>
  <c r="AI37" i="7"/>
  <c r="N44" i="2" s="1"/>
  <c r="Z37" i="7"/>
  <c r="E44" i="2" s="1"/>
  <c r="AA37" i="7"/>
  <c r="F44" i="2" s="1"/>
  <c r="X37" i="7"/>
  <c r="C44" i="2" s="1"/>
  <c r="AB29" i="7"/>
  <c r="G50" i="2" s="1"/>
  <c r="AJ29" i="7"/>
  <c r="O50" i="2" s="1"/>
  <c r="BE20" i="6" s="1"/>
  <c r="AC29" i="7"/>
  <c r="H50" i="2" s="1"/>
  <c r="AT20" i="6" s="1"/>
  <c r="AK29" i="7"/>
  <c r="P50" i="2" s="1"/>
  <c r="AD29" i="7"/>
  <c r="I50" i="2" s="1"/>
  <c r="AV20" i="6" s="1"/>
  <c r="AE29" i="7"/>
  <c r="J50" i="2" s="1"/>
  <c r="AW20" i="6" s="1"/>
  <c r="AF29" i="7"/>
  <c r="K50" i="2" s="1"/>
  <c r="AH29" i="7"/>
  <c r="M50" i="2" s="1"/>
  <c r="AG29" i="7"/>
  <c r="L50" i="2" s="1"/>
  <c r="AI29" i="7"/>
  <c r="N50" i="2" s="1"/>
  <c r="BC20" i="6" s="1"/>
  <c r="Z29" i="7"/>
  <c r="AA29" i="7"/>
  <c r="X29" i="7"/>
  <c r="C50" i="2" s="1"/>
  <c r="AB21" i="7"/>
  <c r="G47" i="2" s="1"/>
  <c r="AS12" i="6" s="1"/>
  <c r="AJ21" i="7"/>
  <c r="O47" i="2" s="1"/>
  <c r="BE12" i="6" s="1"/>
  <c r="AC21" i="7"/>
  <c r="H47" i="2" s="1"/>
  <c r="AT12" i="6" s="1"/>
  <c r="AK21" i="7"/>
  <c r="P47" i="2" s="1"/>
  <c r="BF12" i="6" s="1"/>
  <c r="AD21" i="7"/>
  <c r="I47" i="2" s="1"/>
  <c r="AV12" i="6" s="1"/>
  <c r="AE21" i="7"/>
  <c r="J47" i="2" s="1"/>
  <c r="AW12" i="6" s="1"/>
  <c r="AF21" i="7"/>
  <c r="K47" i="2" s="1"/>
  <c r="AY12" i="6" s="1"/>
  <c r="AH21" i="7"/>
  <c r="M47" i="2" s="1"/>
  <c r="AG21" i="7"/>
  <c r="L47" i="2" s="1"/>
  <c r="AZ12" i="6" s="1"/>
  <c r="AI21" i="7"/>
  <c r="N47" i="2" s="1"/>
  <c r="BC12" i="6" s="1"/>
  <c r="Z21" i="7"/>
  <c r="AA21" i="7"/>
  <c r="X21" i="7"/>
  <c r="C47" i="2" s="1"/>
  <c r="AN12" i="6" s="1"/>
  <c r="AB13" i="7"/>
  <c r="G16" i="2" s="1"/>
  <c r="AJ13" i="7"/>
  <c r="O16" i="2" s="1"/>
  <c r="AC13" i="7"/>
  <c r="H16" i="2" s="1"/>
  <c r="AK13" i="7"/>
  <c r="P16" i="2" s="1"/>
  <c r="AD13" i="7"/>
  <c r="I16" i="2" s="1"/>
  <c r="AE13" i="7"/>
  <c r="J16" i="2" s="1"/>
  <c r="AF13" i="7"/>
  <c r="K16" i="2" s="1"/>
  <c r="AH13" i="7"/>
  <c r="M16" i="2" s="1"/>
  <c r="BB6" i="6" s="1"/>
  <c r="AG13" i="7"/>
  <c r="L16" i="2" s="1"/>
  <c r="AI13" i="7"/>
  <c r="N16" i="2" s="1"/>
  <c r="BC6" i="6" s="1"/>
  <c r="X13" i="7"/>
  <c r="C16" i="2" s="1"/>
  <c r="Y13" i="7"/>
  <c r="D16" i="2" s="1"/>
  <c r="AA13" i="7"/>
  <c r="Z167" i="7"/>
  <c r="Z165" i="7"/>
  <c r="Z163" i="7"/>
  <c r="Z159" i="7"/>
  <c r="Z157" i="7"/>
  <c r="Z155" i="7"/>
  <c r="Z151" i="7"/>
  <c r="Z149" i="7"/>
  <c r="Z147" i="7"/>
  <c r="Z143" i="7"/>
  <c r="Z141" i="7"/>
  <c r="Z139" i="7"/>
  <c r="Z135" i="7"/>
  <c r="Z133" i="7"/>
  <c r="Z131" i="7"/>
  <c r="Z127" i="7"/>
  <c r="Z125" i="7"/>
  <c r="Z123" i="7"/>
  <c r="Z119" i="7"/>
  <c r="Z117" i="7"/>
  <c r="Z115" i="7"/>
  <c r="Z111" i="7"/>
  <c r="Y109" i="7"/>
  <c r="Z106" i="7"/>
  <c r="Y101" i="7"/>
  <c r="Z98" i="7"/>
  <c r="Y93" i="7"/>
  <c r="Z90" i="7"/>
  <c r="Y87" i="7"/>
  <c r="AA77" i="7"/>
  <c r="Z74" i="7"/>
  <c r="Y71" i="7"/>
  <c r="X56" i="7"/>
  <c r="AA50" i="7"/>
  <c r="F41" i="2" s="1"/>
  <c r="Y45" i="7"/>
  <c r="D23" i="2" s="1"/>
  <c r="X40" i="7"/>
  <c r="C34" i="2" s="1"/>
  <c r="AA34" i="7"/>
  <c r="F55" i="2" s="1"/>
  <c r="Y29" i="7"/>
  <c r="D50" i="2" s="1"/>
  <c r="AA18" i="7"/>
  <c r="F53" i="2" s="1"/>
  <c r="AH167" i="7"/>
  <c r="AJ163" i="7"/>
  <c r="AH159" i="7"/>
  <c r="AG155" i="7"/>
  <c r="AB150" i="7"/>
  <c r="AC133" i="7"/>
  <c r="AK126" i="7"/>
  <c r="AK119" i="7"/>
  <c r="AG54" i="7"/>
  <c r="L46" i="2" s="1"/>
  <c r="AI164" i="7"/>
  <c r="AB164" i="7"/>
  <c r="AJ164" i="7"/>
  <c r="AC164" i="7"/>
  <c r="AK164" i="7"/>
  <c r="AD164" i="7"/>
  <c r="AG164" i="7"/>
  <c r="AH164" i="7"/>
  <c r="AE164" i="7"/>
  <c r="AI156" i="7"/>
  <c r="AB156" i="7"/>
  <c r="AJ156" i="7"/>
  <c r="AC156" i="7"/>
  <c r="AK156" i="7"/>
  <c r="AD156" i="7"/>
  <c r="AG156" i="7"/>
  <c r="AH156" i="7"/>
  <c r="AE156" i="7"/>
  <c r="AH148" i="7"/>
  <c r="AI148" i="7"/>
  <c r="AB148" i="7"/>
  <c r="AJ148" i="7"/>
  <c r="AC148" i="7"/>
  <c r="AK148" i="7"/>
  <c r="AD148" i="7"/>
  <c r="AG148" i="7"/>
  <c r="AE148" i="7"/>
  <c r="AH140" i="7"/>
  <c r="AI140" i="7"/>
  <c r="AB140" i="7"/>
  <c r="AJ140" i="7"/>
  <c r="AC140" i="7"/>
  <c r="AK140" i="7"/>
  <c r="AD140" i="7"/>
  <c r="AE140" i="7"/>
  <c r="AF140" i="7"/>
  <c r="AH132" i="7"/>
  <c r="AI132" i="7"/>
  <c r="AB132" i="7"/>
  <c r="AJ132" i="7"/>
  <c r="AC132" i="7"/>
  <c r="AK132" i="7"/>
  <c r="AD132" i="7"/>
  <c r="AF132" i="7"/>
  <c r="AG132" i="7"/>
  <c r="AH124" i="7"/>
  <c r="AI124" i="7"/>
  <c r="AB124" i="7"/>
  <c r="AJ124" i="7"/>
  <c r="AC124" i="7"/>
  <c r="AK124" i="7"/>
  <c r="AD124" i="7"/>
  <c r="AE124" i="7"/>
  <c r="AG124" i="7"/>
  <c r="AC116" i="7"/>
  <c r="AK116" i="7"/>
  <c r="AD116" i="7"/>
  <c r="AE116" i="7"/>
  <c r="AG116" i="7"/>
  <c r="AJ116" i="7"/>
  <c r="AB116" i="7"/>
  <c r="AH116" i="7"/>
  <c r="AI116" i="7"/>
  <c r="AC108" i="7"/>
  <c r="AK108" i="7"/>
  <c r="AD108" i="7"/>
  <c r="AE108" i="7"/>
  <c r="AG108" i="7"/>
  <c r="AI108" i="7"/>
  <c r="AJ108" i="7"/>
  <c r="AB108" i="7"/>
  <c r="AF108" i="7"/>
  <c r="AC100" i="7"/>
  <c r="AK100" i="7"/>
  <c r="AD100" i="7"/>
  <c r="AE100" i="7"/>
  <c r="AG100" i="7"/>
  <c r="AH100" i="7"/>
  <c r="AI100" i="7"/>
  <c r="AB100" i="7"/>
  <c r="AF100" i="7"/>
  <c r="AC92" i="7"/>
  <c r="AK92" i="7"/>
  <c r="AD92" i="7"/>
  <c r="AE92" i="7"/>
  <c r="AG92" i="7"/>
  <c r="AH92" i="7"/>
  <c r="AI92" i="7"/>
  <c r="AF92" i="7"/>
  <c r="AJ92" i="7"/>
  <c r="AB92" i="7"/>
  <c r="AC84" i="7"/>
  <c r="AK84" i="7"/>
  <c r="AD84" i="7"/>
  <c r="AE84" i="7"/>
  <c r="AG84" i="7"/>
  <c r="AH84" i="7"/>
  <c r="AI84" i="7"/>
  <c r="AB84" i="7"/>
  <c r="AF84" i="7"/>
  <c r="AJ84" i="7"/>
  <c r="Y84" i="7"/>
  <c r="AC76" i="7"/>
  <c r="AK76" i="7"/>
  <c r="AD76" i="7"/>
  <c r="AE76" i="7"/>
  <c r="AG76" i="7"/>
  <c r="AH76" i="7"/>
  <c r="AI76" i="7"/>
  <c r="AF76" i="7"/>
  <c r="AJ76" i="7"/>
  <c r="Y76" i="7"/>
  <c r="AB76" i="7"/>
  <c r="AD68" i="7"/>
  <c r="AE68" i="7"/>
  <c r="AF68" i="7"/>
  <c r="AB68" i="7"/>
  <c r="AJ68" i="7"/>
  <c r="AH68" i="7"/>
  <c r="AI68" i="7"/>
  <c r="AK68" i="7"/>
  <c r="AC68" i="7"/>
  <c r="AG68" i="7"/>
  <c r="Y68" i="7"/>
  <c r="AD60" i="7"/>
  <c r="AE60" i="7"/>
  <c r="AF60" i="7"/>
  <c r="AG60" i="7"/>
  <c r="AH60" i="7"/>
  <c r="AB60" i="7"/>
  <c r="AJ60" i="7"/>
  <c r="AC60" i="7"/>
  <c r="AI60" i="7"/>
  <c r="AK60" i="7"/>
  <c r="Y60" i="7"/>
  <c r="AD52" i="7"/>
  <c r="I33" i="2" s="1"/>
  <c r="AV53" i="6" s="1"/>
  <c r="AE52" i="7"/>
  <c r="J33" i="2" s="1"/>
  <c r="AW53" i="6" s="1"/>
  <c r="AF52" i="7"/>
  <c r="K33" i="2" s="1"/>
  <c r="AG52" i="7"/>
  <c r="L33" i="2" s="1"/>
  <c r="AH52" i="7"/>
  <c r="M33" i="2" s="1"/>
  <c r="AB52" i="7"/>
  <c r="G33" i="2" s="1"/>
  <c r="AJ52" i="7"/>
  <c r="O33" i="2" s="1"/>
  <c r="AC52" i="7"/>
  <c r="H33" i="2" s="1"/>
  <c r="AI52" i="7"/>
  <c r="N33" i="2" s="1"/>
  <c r="AK52" i="7"/>
  <c r="P33" i="2" s="1"/>
  <c r="Y52" i="7"/>
  <c r="D33" i="2" s="1"/>
  <c r="Z52" i="7"/>
  <c r="AD44" i="7"/>
  <c r="AE44" i="7"/>
  <c r="J36" i="2" s="1"/>
  <c r="AF44" i="7"/>
  <c r="K36" i="2" s="1"/>
  <c r="AG44" i="7"/>
  <c r="L36" i="2" s="1"/>
  <c r="AH44" i="7"/>
  <c r="AB44" i="7"/>
  <c r="G36" i="2" s="1"/>
  <c r="AJ44" i="7"/>
  <c r="O36" i="2" s="1"/>
  <c r="AC44" i="7"/>
  <c r="H36" i="2" s="1"/>
  <c r="AI44" i="7"/>
  <c r="N36" i="2" s="1"/>
  <c r="AK44" i="7"/>
  <c r="P36" i="2" s="1"/>
  <c r="Y44" i="7"/>
  <c r="D36" i="2" s="1"/>
  <c r="Z44" i="7"/>
  <c r="E36" i="2" s="1"/>
  <c r="AD36" i="7"/>
  <c r="I32" i="2" s="1"/>
  <c r="AE36" i="7"/>
  <c r="J32" i="2" s="1"/>
  <c r="AF36" i="7"/>
  <c r="K32" i="2" s="1"/>
  <c r="AG36" i="7"/>
  <c r="L32" i="2" s="1"/>
  <c r="AZ37" i="6" s="1"/>
  <c r="AH36" i="7"/>
  <c r="M32" i="2" s="1"/>
  <c r="BB37" i="6" s="1"/>
  <c r="AB36" i="7"/>
  <c r="G32" i="2" s="1"/>
  <c r="AS37" i="6" s="1"/>
  <c r="AJ36" i="7"/>
  <c r="O32" i="2" s="1"/>
  <c r="BE37" i="6" s="1"/>
  <c r="AC36" i="7"/>
  <c r="H32" i="2" s="1"/>
  <c r="AT37" i="6" s="1"/>
  <c r="AI36" i="7"/>
  <c r="N32" i="2" s="1"/>
  <c r="AK36" i="7"/>
  <c r="P32" i="2" s="1"/>
  <c r="Y36" i="7"/>
  <c r="D32" i="2" s="1"/>
  <c r="AO37" i="6" s="1"/>
  <c r="Z36" i="7"/>
  <c r="E32" i="2" s="1"/>
  <c r="AD28" i="7"/>
  <c r="I60" i="2" s="1"/>
  <c r="AV18" i="6" s="1"/>
  <c r="AE28" i="7"/>
  <c r="J60" i="2" s="1"/>
  <c r="AW18" i="6" s="1"/>
  <c r="AF28" i="7"/>
  <c r="K60" i="2" s="1"/>
  <c r="AG28" i="7"/>
  <c r="L60" i="2" s="1"/>
  <c r="AZ18" i="6" s="1"/>
  <c r="AH28" i="7"/>
  <c r="M60" i="2" s="1"/>
  <c r="BB18" i="6" s="1"/>
  <c r="AB28" i="7"/>
  <c r="G60" i="2" s="1"/>
  <c r="AS18" i="6" s="1"/>
  <c r="AJ28" i="7"/>
  <c r="O60" i="2" s="1"/>
  <c r="BE18" i="6" s="1"/>
  <c r="AC28" i="7"/>
  <c r="H60" i="2" s="1"/>
  <c r="AT18" i="6" s="1"/>
  <c r="AI28" i="7"/>
  <c r="N60" i="2" s="1"/>
  <c r="BC18" i="6" s="1"/>
  <c r="Y28" i="7"/>
  <c r="D60" i="2" s="1"/>
  <c r="AK28" i="7"/>
  <c r="P60" i="2" s="1"/>
  <c r="Z28" i="7"/>
  <c r="AD20" i="7"/>
  <c r="I29" i="2" s="1"/>
  <c r="AV11" i="6" s="1"/>
  <c r="AE20" i="7"/>
  <c r="J29" i="2" s="1"/>
  <c r="AF20" i="7"/>
  <c r="K29" i="2" s="1"/>
  <c r="AG20" i="7"/>
  <c r="L29" i="2" s="1"/>
  <c r="AH20" i="7"/>
  <c r="M29" i="2" s="1"/>
  <c r="BB11" i="6" s="1"/>
  <c r="AB20" i="7"/>
  <c r="G29" i="2" s="1"/>
  <c r="AJ20" i="7"/>
  <c r="O29" i="2" s="1"/>
  <c r="BE11" i="6" s="1"/>
  <c r="AC20" i="7"/>
  <c r="H29" i="2" s="1"/>
  <c r="AT11" i="6" s="1"/>
  <c r="AI20" i="7"/>
  <c r="N29" i="2" s="1"/>
  <c r="AK20" i="7"/>
  <c r="P29" i="2" s="1"/>
  <c r="Y20" i="7"/>
  <c r="Z20" i="7"/>
  <c r="AD12" i="7"/>
  <c r="I31" i="2" s="1"/>
  <c r="AE12" i="7"/>
  <c r="J31" i="2" s="1"/>
  <c r="AF12" i="7"/>
  <c r="K31" i="2" s="1"/>
  <c r="AG12" i="7"/>
  <c r="L31" i="2" s="1"/>
  <c r="AH12" i="7"/>
  <c r="M31" i="2" s="1"/>
  <c r="AB12" i="7"/>
  <c r="G31" i="2" s="1"/>
  <c r="AJ12" i="7"/>
  <c r="O31" i="2" s="1"/>
  <c r="AC12" i="7"/>
  <c r="H31" i="2" s="1"/>
  <c r="AI12" i="7"/>
  <c r="N31" i="2" s="1"/>
  <c r="X12" i="7"/>
  <c r="C31" i="2" s="1"/>
  <c r="AK12" i="7"/>
  <c r="P31" i="2" s="1"/>
  <c r="Z12" i="7"/>
  <c r="Y12" i="7"/>
  <c r="D31" i="2" s="1"/>
  <c r="Y167" i="7"/>
  <c r="Y165" i="7"/>
  <c r="Y163" i="7"/>
  <c r="Y159" i="7"/>
  <c r="Y157" i="7"/>
  <c r="Y151" i="7"/>
  <c r="Y149" i="7"/>
  <c r="Y143" i="7"/>
  <c r="Y141" i="7"/>
  <c r="Y135" i="7"/>
  <c r="Y133" i="7"/>
  <c r="Y127" i="7"/>
  <c r="Y125" i="7"/>
  <c r="Y119" i="7"/>
  <c r="Y117" i="7"/>
  <c r="Y111" i="7"/>
  <c r="AA108" i="7"/>
  <c r="Y106" i="7"/>
  <c r="AA103" i="7"/>
  <c r="AA100" i="7"/>
  <c r="Y98" i="7"/>
  <c r="AA95" i="7"/>
  <c r="AA92" i="7"/>
  <c r="AA86" i="7"/>
  <c r="Y77" i="7"/>
  <c r="AA70" i="7"/>
  <c r="Y63" i="7"/>
  <c r="Y55" i="7"/>
  <c r="D24" i="2" s="1"/>
  <c r="AA44" i="7"/>
  <c r="F36" i="2" s="1"/>
  <c r="Y39" i="7"/>
  <c r="D37" i="2" s="1"/>
  <c r="AA28" i="7"/>
  <c r="Y23" i="7"/>
  <c r="AB167" i="7"/>
  <c r="AB159" i="7"/>
  <c r="AJ154" i="7"/>
  <c r="AD149" i="7"/>
  <c r="AH143" i="7"/>
  <c r="AE132" i="7"/>
  <c r="AI126" i="7"/>
  <c r="AE118" i="7"/>
  <c r="AF106" i="7"/>
  <c r="AH85" i="7"/>
  <c r="AD24" i="7"/>
  <c r="I56" i="2" s="1"/>
  <c r="AV14" i="6" s="1"/>
  <c r="AE24" i="7"/>
  <c r="J56" i="2" s="1"/>
  <c r="AW14" i="6" s="1"/>
  <c r="AF24" i="7"/>
  <c r="K56" i="2" s="1"/>
  <c r="AY14" i="6" s="1"/>
  <c r="AG24" i="7"/>
  <c r="L56" i="2" s="1"/>
  <c r="AZ14" i="6" s="1"/>
  <c r="AH24" i="7"/>
  <c r="M56" i="2" s="1"/>
  <c r="BB14" i="6" s="1"/>
  <c r="AB24" i="7"/>
  <c r="G56" i="2" s="1"/>
  <c r="AS14" i="6" s="1"/>
  <c r="AJ24" i="7"/>
  <c r="O56" i="2" s="1"/>
  <c r="BE14" i="6" s="1"/>
  <c r="AI24" i="7"/>
  <c r="N56" i="2" s="1"/>
  <c r="BC14" i="6" s="1"/>
  <c r="AK24" i="7"/>
  <c r="P56" i="2" s="1"/>
  <c r="BF14" i="6" s="1"/>
  <c r="AC24" i="7"/>
  <c r="H56" i="2" s="1"/>
  <c r="AT14" i="6" s="1"/>
  <c r="Y24" i="7"/>
  <c r="D56" i="2" s="1"/>
  <c r="Z24" i="7"/>
  <c r="AC163" i="7"/>
  <c r="AK163" i="7"/>
  <c r="AD163" i="7"/>
  <c r="AE163" i="7"/>
  <c r="AF163" i="7"/>
  <c r="AB163" i="7"/>
  <c r="AH163" i="7"/>
  <c r="AI163" i="7"/>
  <c r="AC155" i="7"/>
  <c r="AK155" i="7"/>
  <c r="AD155" i="7"/>
  <c r="AE155" i="7"/>
  <c r="AF155" i="7"/>
  <c r="AB155" i="7"/>
  <c r="AH155" i="7"/>
  <c r="AI155" i="7"/>
  <c r="AB147" i="7"/>
  <c r="AJ147" i="7"/>
  <c r="AC147" i="7"/>
  <c r="AK147" i="7"/>
  <c r="AD147" i="7"/>
  <c r="AE147" i="7"/>
  <c r="AF147" i="7"/>
  <c r="AG147" i="7"/>
  <c r="AH147" i="7"/>
  <c r="AB139" i="7"/>
  <c r="AJ139" i="7"/>
  <c r="AC139" i="7"/>
  <c r="AK139" i="7"/>
  <c r="AD139" i="7"/>
  <c r="AE139" i="7"/>
  <c r="AF139" i="7"/>
  <c r="AH139" i="7"/>
  <c r="AB131" i="7"/>
  <c r="AJ131" i="7"/>
  <c r="AC131" i="7"/>
  <c r="AK131" i="7"/>
  <c r="AD131" i="7"/>
  <c r="AE131" i="7"/>
  <c r="AF131" i="7"/>
  <c r="AH131" i="7"/>
  <c r="AI131" i="7"/>
  <c r="AG123" i="7"/>
  <c r="AJ123" i="7"/>
  <c r="AB123" i="7"/>
  <c r="AK123" i="7"/>
  <c r="AC123" i="7"/>
  <c r="AD123" i="7"/>
  <c r="AE123" i="7"/>
  <c r="AF123" i="7"/>
  <c r="AI123" i="7"/>
  <c r="AE115" i="7"/>
  <c r="AF115" i="7"/>
  <c r="AG115" i="7"/>
  <c r="AI115" i="7"/>
  <c r="AD115" i="7"/>
  <c r="AH115" i="7"/>
  <c r="AJ115" i="7"/>
  <c r="AK115" i="7"/>
  <c r="AB115" i="7"/>
  <c r="AC115" i="7"/>
  <c r="AE107" i="7"/>
  <c r="AF107" i="7"/>
  <c r="AG107" i="7"/>
  <c r="AI107" i="7"/>
  <c r="AC107" i="7"/>
  <c r="AK107" i="7"/>
  <c r="AB107" i="7"/>
  <c r="AD107" i="7"/>
  <c r="AH107" i="7"/>
  <c r="AJ107" i="7"/>
  <c r="Z107" i="7"/>
  <c r="X107" i="7"/>
  <c r="AE99" i="7"/>
  <c r="AF99" i="7"/>
  <c r="AG99" i="7"/>
  <c r="AI99" i="7"/>
  <c r="AB99" i="7"/>
  <c r="AJ99" i="7"/>
  <c r="AC99" i="7"/>
  <c r="AK99" i="7"/>
  <c r="AD99" i="7"/>
  <c r="AH99" i="7"/>
  <c r="Z99" i="7"/>
  <c r="X99" i="7"/>
  <c r="AE91" i="7"/>
  <c r="AF91" i="7"/>
  <c r="AG91" i="7"/>
  <c r="AI91" i="7"/>
  <c r="AB91" i="7"/>
  <c r="AJ91" i="7"/>
  <c r="AC91" i="7"/>
  <c r="AK91" i="7"/>
  <c r="Z91" i="7"/>
  <c r="AD91" i="7"/>
  <c r="X91" i="7"/>
  <c r="AE83" i="7"/>
  <c r="AF83" i="7"/>
  <c r="AG83" i="7"/>
  <c r="AI83" i="7"/>
  <c r="AB83" i="7"/>
  <c r="AJ83" i="7"/>
  <c r="AC83" i="7"/>
  <c r="AK83" i="7"/>
  <c r="AD83" i="7"/>
  <c r="AH83" i="7"/>
  <c r="Z83" i="7"/>
  <c r="X83" i="7"/>
  <c r="AE75" i="7"/>
  <c r="AF75" i="7"/>
  <c r="AG75" i="7"/>
  <c r="AI75" i="7"/>
  <c r="AB75" i="7"/>
  <c r="AJ75" i="7"/>
  <c r="AC75" i="7"/>
  <c r="AK75" i="7"/>
  <c r="Z75" i="7"/>
  <c r="AH75" i="7"/>
  <c r="X75" i="7"/>
  <c r="AF67" i="7"/>
  <c r="AG67" i="7"/>
  <c r="AH67" i="7"/>
  <c r="AD67" i="7"/>
  <c r="AB67" i="7"/>
  <c r="AC67" i="7"/>
  <c r="AE67" i="7"/>
  <c r="AJ67" i="7"/>
  <c r="AK67" i="7"/>
  <c r="AI67" i="7"/>
  <c r="Z67" i="7"/>
  <c r="AA67" i="7"/>
  <c r="X67" i="7"/>
  <c r="AF59" i="7"/>
  <c r="AG59" i="7"/>
  <c r="AH59" i="7"/>
  <c r="AI59" i="7"/>
  <c r="AB59" i="7"/>
  <c r="AJ59" i="7"/>
  <c r="AD59" i="7"/>
  <c r="AK59" i="7"/>
  <c r="AC59" i="7"/>
  <c r="AE59" i="7"/>
  <c r="Z59" i="7"/>
  <c r="AA59" i="7"/>
  <c r="X59" i="7"/>
  <c r="AF51" i="7"/>
  <c r="K21" i="2" s="1"/>
  <c r="AG51" i="7"/>
  <c r="L21" i="2" s="1"/>
  <c r="AH51" i="7"/>
  <c r="M21" i="2" s="1"/>
  <c r="AI51" i="7"/>
  <c r="N21" i="2" s="1"/>
  <c r="AB51" i="7"/>
  <c r="G21" i="2" s="1"/>
  <c r="AJ51" i="7"/>
  <c r="O21" i="2" s="1"/>
  <c r="AD51" i="7"/>
  <c r="I21" i="2" s="1"/>
  <c r="AC51" i="7"/>
  <c r="H21" i="2" s="1"/>
  <c r="AK51" i="7"/>
  <c r="P21" i="2" s="1"/>
  <c r="BF52" i="6" s="1"/>
  <c r="AE51" i="7"/>
  <c r="J21" i="2" s="1"/>
  <c r="Z51" i="7"/>
  <c r="E21" i="2" s="1"/>
  <c r="AA51" i="7"/>
  <c r="F21" i="2" s="1"/>
  <c r="X51" i="7"/>
  <c r="C21" i="2" s="1"/>
  <c r="AF43" i="7"/>
  <c r="K45" i="2" s="1"/>
  <c r="AY43" i="6" s="1"/>
  <c r="AG43" i="7"/>
  <c r="L45" i="2" s="1"/>
  <c r="AZ43" i="6" s="1"/>
  <c r="AH43" i="7"/>
  <c r="M45" i="2" s="1"/>
  <c r="AI43" i="7"/>
  <c r="N45" i="2" s="1"/>
  <c r="BC43" i="6" s="1"/>
  <c r="AB43" i="7"/>
  <c r="G45" i="2" s="1"/>
  <c r="AJ43" i="7"/>
  <c r="O45" i="2" s="1"/>
  <c r="BE43" i="6" s="1"/>
  <c r="AD43" i="7"/>
  <c r="I45" i="2" s="1"/>
  <c r="AV43" i="6" s="1"/>
  <c r="AK43" i="7"/>
  <c r="P45" i="2" s="1"/>
  <c r="AC43" i="7"/>
  <c r="H45" i="2" s="1"/>
  <c r="AT43" i="6" s="1"/>
  <c r="AE43" i="7"/>
  <c r="J45" i="2" s="1"/>
  <c r="Z43" i="7"/>
  <c r="AA43" i="7"/>
  <c r="X43" i="7"/>
  <c r="C45" i="2" s="1"/>
  <c r="AN43" i="6" s="1"/>
  <c r="AF35" i="7"/>
  <c r="K43" i="2" s="1"/>
  <c r="AG35" i="7"/>
  <c r="L43" i="2" s="1"/>
  <c r="AH35" i="7"/>
  <c r="M43" i="2" s="1"/>
  <c r="AI35" i="7"/>
  <c r="N43" i="2" s="1"/>
  <c r="BC29" i="6" s="1"/>
  <c r="AB35" i="7"/>
  <c r="G43" i="2" s="1"/>
  <c r="AJ35" i="7"/>
  <c r="O43" i="2" s="1"/>
  <c r="BE29" i="6" s="1"/>
  <c r="AD35" i="7"/>
  <c r="I43" i="2" s="1"/>
  <c r="AV29" i="6" s="1"/>
  <c r="AC35" i="7"/>
  <c r="H43" i="2" s="1"/>
  <c r="AK35" i="7"/>
  <c r="P43" i="2" s="1"/>
  <c r="AE35" i="7"/>
  <c r="J43" i="2" s="1"/>
  <c r="Z35" i="7"/>
  <c r="AA35" i="7"/>
  <c r="X35" i="7"/>
  <c r="C43" i="2" s="1"/>
  <c r="AF27" i="7"/>
  <c r="K48" i="2" s="1"/>
  <c r="AG27" i="7"/>
  <c r="L48" i="2" s="1"/>
  <c r="AH27" i="7"/>
  <c r="M48" i="2" s="1"/>
  <c r="AI27" i="7"/>
  <c r="N48" i="2" s="1"/>
  <c r="AB27" i="7"/>
  <c r="G48" i="2" s="1"/>
  <c r="AJ27" i="7"/>
  <c r="O48" i="2" s="1"/>
  <c r="AD27" i="7"/>
  <c r="I48" i="2" s="1"/>
  <c r="AK27" i="7"/>
  <c r="P48" i="2" s="1"/>
  <c r="BF17" i="6" s="1"/>
  <c r="AC27" i="7"/>
  <c r="H48" i="2" s="1"/>
  <c r="Z27" i="7"/>
  <c r="AA27" i="7"/>
  <c r="AE27" i="7"/>
  <c r="J48" i="2" s="1"/>
  <c r="X27" i="7"/>
  <c r="C48" i="2" s="1"/>
  <c r="AF19" i="7"/>
  <c r="K26" i="2" s="1"/>
  <c r="AG19" i="7"/>
  <c r="L26" i="2" s="1"/>
  <c r="AH19" i="7"/>
  <c r="M26" i="2" s="1"/>
  <c r="AI19" i="7"/>
  <c r="N26" i="2" s="1"/>
  <c r="AB19" i="7"/>
  <c r="G26" i="2" s="1"/>
  <c r="AJ19" i="7"/>
  <c r="O26" i="2" s="1"/>
  <c r="AD19" i="7"/>
  <c r="I26" i="2" s="1"/>
  <c r="AC19" i="7"/>
  <c r="H26" i="2" s="1"/>
  <c r="AK19" i="7"/>
  <c r="P26" i="2" s="1"/>
  <c r="AE19" i="7"/>
  <c r="J26" i="2" s="1"/>
  <c r="Z19" i="7"/>
  <c r="E26" i="2" s="1"/>
  <c r="AA19" i="7"/>
  <c r="X19" i="7"/>
  <c r="C26" i="2" s="1"/>
  <c r="AF11" i="7"/>
  <c r="K19" i="2" s="1"/>
  <c r="AG11" i="7"/>
  <c r="L19" i="2" s="1"/>
  <c r="AH11" i="7"/>
  <c r="M19" i="2" s="1"/>
  <c r="AI11" i="7"/>
  <c r="N19" i="2" s="1"/>
  <c r="BC5" i="6" s="1"/>
  <c r="AB11" i="7"/>
  <c r="G19" i="2" s="1"/>
  <c r="AJ11" i="7"/>
  <c r="O19" i="2" s="1"/>
  <c r="AD11" i="7"/>
  <c r="I19" i="2" s="1"/>
  <c r="AK11" i="7"/>
  <c r="P19" i="2" s="1"/>
  <c r="BF5" i="6" s="1"/>
  <c r="AC11" i="7"/>
  <c r="H19" i="2" s="1"/>
  <c r="AE11" i="7"/>
  <c r="J19" i="2" s="1"/>
  <c r="Y11" i="7"/>
  <c r="D19" i="2" s="1"/>
  <c r="Z11" i="7"/>
  <c r="E19" i="2" s="1"/>
  <c r="X163" i="7"/>
  <c r="X155" i="7"/>
  <c r="X147" i="7"/>
  <c r="X141" i="7"/>
  <c r="X139" i="7"/>
  <c r="X135" i="7"/>
  <c r="X133" i="7"/>
  <c r="X131" i="7"/>
  <c r="X127" i="7"/>
  <c r="X125" i="7"/>
  <c r="X123" i="7"/>
  <c r="X119" i="7"/>
  <c r="X117" i="7"/>
  <c r="X115" i="7"/>
  <c r="AA110" i="7"/>
  <c r="Z108" i="7"/>
  <c r="Y103" i="7"/>
  <c r="Z100" i="7"/>
  <c r="Y95" i="7"/>
  <c r="Z92" i="7"/>
  <c r="Z86" i="7"/>
  <c r="Y83" i="7"/>
  <c r="AA76" i="7"/>
  <c r="Z70" i="7"/>
  <c r="AA62" i="7"/>
  <c r="AA54" i="7"/>
  <c r="X44" i="7"/>
  <c r="C36" i="2" s="1"/>
  <c r="AA38" i="7"/>
  <c r="X28" i="7"/>
  <c r="C60" i="2" s="1"/>
  <c r="AN18" i="6" s="1"/>
  <c r="AA22" i="7"/>
  <c r="F58" i="2" s="1"/>
  <c r="X11" i="7"/>
  <c r="C19" i="2" s="1"/>
  <c r="AJ166" i="7"/>
  <c r="AI158" i="7"/>
  <c r="AF148" i="7"/>
  <c r="AJ142" i="7"/>
  <c r="AG131" i="7"/>
  <c r="AK125" i="7"/>
  <c r="AB118" i="7"/>
  <c r="AG30" i="7"/>
  <c r="L38" i="2" s="1"/>
  <c r="AE162" i="7"/>
  <c r="AF162" i="7"/>
  <c r="AG162" i="7"/>
  <c r="AH162" i="7"/>
  <c r="AK162" i="7"/>
  <c r="AB162" i="7"/>
  <c r="AC162" i="7"/>
  <c r="AI162" i="7"/>
  <c r="AD154" i="7"/>
  <c r="AE154" i="7"/>
  <c r="AF154" i="7"/>
  <c r="AG154" i="7"/>
  <c r="AH154" i="7"/>
  <c r="AK154" i="7"/>
  <c r="AB154" i="7"/>
  <c r="AI154" i="7"/>
  <c r="AD146" i="7"/>
  <c r="AE146" i="7"/>
  <c r="AF146" i="7"/>
  <c r="AG146" i="7"/>
  <c r="AH146" i="7"/>
  <c r="AI146" i="7"/>
  <c r="AJ146" i="7"/>
  <c r="AB146" i="7"/>
  <c r="AD138" i="7"/>
  <c r="AE138" i="7"/>
  <c r="AF138" i="7"/>
  <c r="AG138" i="7"/>
  <c r="AH138" i="7"/>
  <c r="AB138" i="7"/>
  <c r="AC138" i="7"/>
  <c r="AJ138" i="7"/>
  <c r="AK138" i="7"/>
  <c r="AD130" i="7"/>
  <c r="AE130" i="7"/>
  <c r="AF130" i="7"/>
  <c r="AG130" i="7"/>
  <c r="AH130" i="7"/>
  <c r="AC130" i="7"/>
  <c r="AI130" i="7"/>
  <c r="AK130" i="7"/>
  <c r="AH122" i="7"/>
  <c r="AI122" i="7"/>
  <c r="AK122" i="7"/>
  <c r="AB122" i="7"/>
  <c r="AC122" i="7"/>
  <c r="AD122" i="7"/>
  <c r="AE122" i="7"/>
  <c r="AJ122" i="7"/>
  <c r="AF122" i="7"/>
  <c r="AG114" i="7"/>
  <c r="AH114" i="7"/>
  <c r="AI114" i="7"/>
  <c r="AC114" i="7"/>
  <c r="AK114" i="7"/>
  <c r="AB114" i="7"/>
  <c r="AD114" i="7"/>
  <c r="AE114" i="7"/>
  <c r="AF114" i="7"/>
  <c r="AG106" i="7"/>
  <c r="AH106" i="7"/>
  <c r="AI106" i="7"/>
  <c r="AC106" i="7"/>
  <c r="AK106" i="7"/>
  <c r="AE106" i="7"/>
  <c r="AJ106" i="7"/>
  <c r="AB106" i="7"/>
  <c r="AD106" i="7"/>
  <c r="AG98" i="7"/>
  <c r="AH98" i="7"/>
  <c r="AI98" i="7"/>
  <c r="AC98" i="7"/>
  <c r="AK98" i="7"/>
  <c r="AD98" i="7"/>
  <c r="AE98" i="7"/>
  <c r="AJ98" i="7"/>
  <c r="AB98" i="7"/>
  <c r="AF98" i="7"/>
  <c r="AG90" i="7"/>
  <c r="AH90" i="7"/>
  <c r="AI90" i="7"/>
  <c r="AC90" i="7"/>
  <c r="AK90" i="7"/>
  <c r="AD90" i="7"/>
  <c r="AE90" i="7"/>
  <c r="AB90" i="7"/>
  <c r="AF90" i="7"/>
  <c r="AJ90" i="7"/>
  <c r="Y90" i="7"/>
  <c r="AG82" i="7"/>
  <c r="AH82" i="7"/>
  <c r="AI82" i="7"/>
  <c r="AC82" i="7"/>
  <c r="AK82" i="7"/>
  <c r="AD82" i="7"/>
  <c r="AE82" i="7"/>
  <c r="AJ82" i="7"/>
  <c r="AB82" i="7"/>
  <c r="Y82" i="7"/>
  <c r="AG74" i="7"/>
  <c r="AH74" i="7"/>
  <c r="AI74" i="7"/>
  <c r="AC74" i="7"/>
  <c r="AK74" i="7"/>
  <c r="AD74" i="7"/>
  <c r="AE74" i="7"/>
  <c r="AB74" i="7"/>
  <c r="AF74" i="7"/>
  <c r="AJ74" i="7"/>
  <c r="Y74" i="7"/>
  <c r="AH66" i="7"/>
  <c r="AI66" i="7"/>
  <c r="AB66" i="7"/>
  <c r="AJ66" i="7"/>
  <c r="AF66" i="7"/>
  <c r="AD66" i="7"/>
  <c r="AE66" i="7"/>
  <c r="AG66" i="7"/>
  <c r="Y66" i="7"/>
  <c r="AK66" i="7"/>
  <c r="AH58" i="7"/>
  <c r="AI58" i="7"/>
  <c r="AB58" i="7"/>
  <c r="AJ58" i="7"/>
  <c r="AC58" i="7"/>
  <c r="AK58" i="7"/>
  <c r="AD58" i="7"/>
  <c r="AF58" i="7"/>
  <c r="AE58" i="7"/>
  <c r="AG58" i="7"/>
  <c r="Y58" i="7"/>
  <c r="AH50" i="7"/>
  <c r="M41" i="2" s="1"/>
  <c r="AI50" i="7"/>
  <c r="N41" i="2" s="1"/>
  <c r="AB50" i="7"/>
  <c r="G41" i="2" s="1"/>
  <c r="AJ50" i="7"/>
  <c r="O41" i="2" s="1"/>
  <c r="AC50" i="7"/>
  <c r="H41" i="2" s="1"/>
  <c r="AK50" i="7"/>
  <c r="P41" i="2" s="1"/>
  <c r="AD50" i="7"/>
  <c r="I41" i="2" s="1"/>
  <c r="AF50" i="7"/>
  <c r="K41" i="2" s="1"/>
  <c r="AE50" i="7"/>
  <c r="J41" i="2" s="1"/>
  <c r="AG50" i="7"/>
  <c r="L41" i="2" s="1"/>
  <c r="Y50" i="7"/>
  <c r="D41" i="2" s="1"/>
  <c r="Z50" i="7"/>
  <c r="E41" i="2" s="1"/>
  <c r="AH42" i="7"/>
  <c r="M12" i="2" s="1"/>
  <c r="AI42" i="7"/>
  <c r="N12" i="2" s="1"/>
  <c r="BC42" i="6" s="1"/>
  <c r="AB42" i="7"/>
  <c r="G12" i="2" s="1"/>
  <c r="AJ42" i="7"/>
  <c r="O12" i="2" s="1"/>
  <c r="BE42" i="6" s="1"/>
  <c r="AC42" i="7"/>
  <c r="H12" i="2" s="1"/>
  <c r="AK42" i="7"/>
  <c r="P12" i="2" s="1"/>
  <c r="BF42" i="6" s="1"/>
  <c r="AD42" i="7"/>
  <c r="I12" i="2" s="1"/>
  <c r="AF42" i="7"/>
  <c r="K12" i="2" s="1"/>
  <c r="AE42" i="7"/>
  <c r="J12" i="2" s="1"/>
  <c r="AW42" i="6" s="1"/>
  <c r="AG42" i="7"/>
  <c r="L12" i="2" s="1"/>
  <c r="AZ42" i="6" s="1"/>
  <c r="Y42" i="7"/>
  <c r="D12" i="2" s="1"/>
  <c r="Z42" i="7"/>
  <c r="E12" i="2" s="1"/>
  <c r="AH34" i="7"/>
  <c r="M55" i="2" s="1"/>
  <c r="AI34" i="7"/>
  <c r="N55" i="2" s="1"/>
  <c r="AB34" i="7"/>
  <c r="G55" i="2" s="1"/>
  <c r="AJ34" i="7"/>
  <c r="O55" i="2" s="1"/>
  <c r="AC34" i="7"/>
  <c r="H55" i="2" s="1"/>
  <c r="AK34" i="7"/>
  <c r="P55" i="2" s="1"/>
  <c r="AD34" i="7"/>
  <c r="I55" i="2" s="1"/>
  <c r="AF34" i="7"/>
  <c r="K55" i="2" s="1"/>
  <c r="AE34" i="7"/>
  <c r="J55" i="2" s="1"/>
  <c r="AG34" i="7"/>
  <c r="L55" i="2" s="1"/>
  <c r="Y34" i="7"/>
  <c r="D55" i="2" s="1"/>
  <c r="Z34" i="7"/>
  <c r="AH26" i="7"/>
  <c r="M51" i="2" s="1"/>
  <c r="AI26" i="7"/>
  <c r="N51" i="2" s="1"/>
  <c r="AB26" i="7"/>
  <c r="G51" i="2" s="1"/>
  <c r="AJ26" i="7"/>
  <c r="O51" i="2" s="1"/>
  <c r="AC26" i="7"/>
  <c r="H51" i="2" s="1"/>
  <c r="AT16" i="6" s="1"/>
  <c r="AK26" i="7"/>
  <c r="P51" i="2" s="1"/>
  <c r="BF16" i="6" s="1"/>
  <c r="AD26" i="7"/>
  <c r="I51" i="2" s="1"/>
  <c r="AV16" i="6" s="1"/>
  <c r="AF26" i="7"/>
  <c r="K51" i="2" s="1"/>
  <c r="AE26" i="7"/>
  <c r="J51" i="2" s="1"/>
  <c r="AW16" i="6" s="1"/>
  <c r="AG26" i="7"/>
  <c r="L51" i="2" s="1"/>
  <c r="AZ16" i="6" s="1"/>
  <c r="Y26" i="7"/>
  <c r="D51" i="2" s="1"/>
  <c r="Z26" i="7"/>
  <c r="E51" i="2" s="1"/>
  <c r="AH18" i="7"/>
  <c r="M53" i="2" s="1"/>
  <c r="AI18" i="7"/>
  <c r="N53" i="2" s="1"/>
  <c r="AB18" i="7"/>
  <c r="G53" i="2" s="1"/>
  <c r="AJ18" i="7"/>
  <c r="O53" i="2" s="1"/>
  <c r="AC18" i="7"/>
  <c r="H53" i="2" s="1"/>
  <c r="AK18" i="7"/>
  <c r="P53" i="2" s="1"/>
  <c r="AD18" i="7"/>
  <c r="I53" i="2" s="1"/>
  <c r="AF18" i="7"/>
  <c r="K53" i="2" s="1"/>
  <c r="AE18" i="7"/>
  <c r="J53" i="2" s="1"/>
  <c r="AG18" i="7"/>
  <c r="L53" i="2" s="1"/>
  <c r="Y18" i="7"/>
  <c r="D53" i="2" s="1"/>
  <c r="Z18" i="7"/>
  <c r="E53" i="2" s="1"/>
  <c r="AH10" i="7"/>
  <c r="M14" i="2" s="1"/>
  <c r="AI10" i="7"/>
  <c r="N14" i="2" s="1"/>
  <c r="AB10" i="7"/>
  <c r="G14" i="2" s="1"/>
  <c r="AJ10" i="7"/>
  <c r="O14" i="2" s="1"/>
  <c r="AC10" i="7"/>
  <c r="H14" i="2" s="1"/>
  <c r="AK10" i="7"/>
  <c r="P14" i="2" s="1"/>
  <c r="AD10" i="7"/>
  <c r="I14" i="2" s="1"/>
  <c r="AF10" i="7"/>
  <c r="K14" i="2" s="1"/>
  <c r="AE10" i="7"/>
  <c r="J14" i="2" s="1"/>
  <c r="AG10" i="7"/>
  <c r="L14" i="2" s="1"/>
  <c r="X10" i="7"/>
  <c r="C14" i="2" s="1"/>
  <c r="Z10" i="7"/>
  <c r="E14" i="2" s="1"/>
  <c r="Y10" i="7"/>
  <c r="D14" i="2" s="1"/>
  <c r="AA10" i="7"/>
  <c r="F14" i="2" s="1"/>
  <c r="AA166" i="7"/>
  <c r="AA164" i="7"/>
  <c r="AA162" i="7"/>
  <c r="AA158" i="7"/>
  <c r="AA156" i="7"/>
  <c r="AA154" i="7"/>
  <c r="AA150" i="7"/>
  <c r="AA148" i="7"/>
  <c r="AA146" i="7"/>
  <c r="AA142" i="7"/>
  <c r="AA140" i="7"/>
  <c r="AA138" i="7"/>
  <c r="AA134" i="7"/>
  <c r="AA132" i="7"/>
  <c r="AA130" i="7"/>
  <c r="AA126" i="7"/>
  <c r="AA124" i="7"/>
  <c r="AA122" i="7"/>
  <c r="AA118" i="7"/>
  <c r="AA116" i="7"/>
  <c r="AA114" i="7"/>
  <c r="Z110" i="7"/>
  <c r="Y108" i="7"/>
  <c r="AA102" i="7"/>
  <c r="Y100" i="7"/>
  <c r="AA94" i="7"/>
  <c r="Y92" i="7"/>
  <c r="X86" i="7"/>
  <c r="AA82" i="7"/>
  <c r="AA79" i="7"/>
  <c r="Z76" i="7"/>
  <c r="X70" i="7"/>
  <c r="Z66" i="7"/>
  <c r="Z62" i="7"/>
  <c r="Z58" i="7"/>
  <c r="X54" i="7"/>
  <c r="C46" i="2" s="1"/>
  <c r="Y43" i="7"/>
  <c r="D45" i="2" s="1"/>
  <c r="AO43" i="6" s="1"/>
  <c r="X38" i="7"/>
  <c r="C42" i="2" s="1"/>
  <c r="AA32" i="7"/>
  <c r="F54" i="2" s="1"/>
  <c r="Y27" i="7"/>
  <c r="D48" i="2" s="1"/>
  <c r="X22" i="7"/>
  <c r="C58" i="2" s="1"/>
  <c r="AA16" i="7"/>
  <c r="F20" i="2" s="1"/>
  <c r="AD166" i="7"/>
  <c r="AD162" i="7"/>
  <c r="AB158" i="7"/>
  <c r="AI147" i="7"/>
  <c r="AB142" i="7"/>
  <c r="AJ130" i="7"/>
  <c r="AC125" i="7"/>
  <c r="AF116" i="7"/>
  <c r="AJ103" i="7"/>
  <c r="AD79" i="7"/>
  <c r="BE5" i="6" l="1"/>
  <c r="BF3" i="6"/>
  <c r="BC55" i="6"/>
  <c r="BF28" i="6"/>
  <c r="BF35" i="6"/>
  <c r="BF53" i="6"/>
  <c r="BB44" i="6"/>
  <c r="BC32" i="6"/>
  <c r="BC22" i="6"/>
  <c r="BC36" i="6"/>
  <c r="BC27" i="6"/>
  <c r="BB15" i="6"/>
  <c r="BE45" i="6"/>
  <c r="BE26" i="6"/>
  <c r="BC46" i="6"/>
  <c r="BE47" i="6"/>
  <c r="BF44" i="6"/>
  <c r="AZ21" i="6"/>
  <c r="AR41" i="6"/>
  <c r="AQ35" i="6"/>
  <c r="AN15" i="6"/>
  <c r="BE7" i="6"/>
  <c r="AO21" i="6"/>
  <c r="BB53" i="6"/>
  <c r="AZ55" i="6"/>
  <c r="AZ35" i="6"/>
  <c r="BE30" i="6"/>
  <c r="BE39" i="6"/>
  <c r="BE44" i="6"/>
  <c r="BE22" i="6"/>
  <c r="BE54" i="6"/>
  <c r="BB16" i="6"/>
  <c r="AQ49" i="6"/>
  <c r="BF47" i="6"/>
  <c r="BE21" i="6"/>
  <c r="BF32" i="6"/>
  <c r="BE24" i="6"/>
  <c r="BF6" i="6"/>
  <c r="BF54" i="6"/>
  <c r="BF7" i="6"/>
  <c r="BE25" i="6"/>
  <c r="BE4" i="6"/>
  <c r="BF48" i="6"/>
  <c r="BF33" i="6"/>
  <c r="BE28" i="6"/>
  <c r="BF31" i="6"/>
  <c r="BF21" i="6"/>
  <c r="BF18" i="6"/>
  <c r="BE53" i="6"/>
  <c r="BF49" i="6"/>
  <c r="BF51" i="6"/>
  <c r="BE49" i="6"/>
  <c r="BE32" i="6"/>
  <c r="BF15" i="6"/>
  <c r="BE16" i="6"/>
  <c r="BE6" i="6"/>
  <c r="BF20" i="6"/>
  <c r="BF13" i="6"/>
  <c r="AY68" i="6" s="1"/>
  <c r="BE50" i="6"/>
  <c r="BE9" i="6"/>
  <c r="AY64" i="6" s="1"/>
  <c r="BE52" i="6"/>
  <c r="BC16" i="6"/>
  <c r="BF10" i="6"/>
  <c r="BE17" i="6"/>
  <c r="AY72" i="6" s="1"/>
  <c r="BF43" i="6"/>
  <c r="BE38" i="6"/>
  <c r="AY93" i="6" s="1"/>
  <c r="BF55" i="6"/>
  <c r="BE46" i="6"/>
  <c r="BE33" i="6"/>
  <c r="BF34" i="6"/>
  <c r="BF24" i="6"/>
  <c r="BB42" i="6"/>
  <c r="AW97" i="6" s="1"/>
  <c r="BC52" i="6"/>
  <c r="BC54" i="6"/>
  <c r="BB7" i="6"/>
  <c r="BF25" i="6"/>
  <c r="BE31" i="6"/>
  <c r="BF46" i="6"/>
  <c r="BF29" i="6"/>
  <c r="BF45" i="6"/>
  <c r="BF26" i="6"/>
  <c r="BF27" i="6"/>
  <c r="AY82" i="6" s="1"/>
  <c r="BE51" i="6"/>
  <c r="BB5" i="6"/>
  <c r="AW60" i="6" s="1"/>
  <c r="BE10" i="6"/>
  <c r="BF11" i="6"/>
  <c r="BF37" i="6"/>
  <c r="BF50" i="6"/>
  <c r="BF4" i="6"/>
  <c r="BE48" i="6"/>
  <c r="BE34" i="6"/>
  <c r="BF19" i="6"/>
  <c r="BE19" i="6"/>
  <c r="BE15" i="6"/>
  <c r="BE3" i="6"/>
  <c r="BB24" i="6"/>
  <c r="BB10" i="6"/>
  <c r="BC45" i="6"/>
  <c r="BC49" i="6"/>
  <c r="BC30" i="6"/>
  <c r="AV9" i="6"/>
  <c r="BC17" i="6"/>
  <c r="BB52" i="6"/>
  <c r="BB54" i="6"/>
  <c r="BC40" i="6"/>
  <c r="BB50" i="6"/>
  <c r="BC44" i="6"/>
  <c r="AW99" i="6" s="1"/>
  <c r="BB19" i="6"/>
  <c r="BB33" i="6"/>
  <c r="AY5" i="6"/>
  <c r="BB17" i="6"/>
  <c r="BB20" i="6"/>
  <c r="BB3" i="6"/>
  <c r="BB34" i="6"/>
  <c r="AW89" i="6" s="1"/>
  <c r="BB46" i="6"/>
  <c r="BC15" i="6"/>
  <c r="BC11" i="6"/>
  <c r="BC37" i="6"/>
  <c r="AW92" i="6" s="1"/>
  <c r="BC53" i="6"/>
  <c r="BC39" i="6"/>
  <c r="AW94" i="6" s="1"/>
  <c r="BC4" i="6"/>
  <c r="BC26" i="6"/>
  <c r="BB48" i="6"/>
  <c r="BC33" i="6"/>
  <c r="BC19" i="6"/>
  <c r="BC21" i="6"/>
  <c r="AT42" i="6"/>
  <c r="BC10" i="6"/>
  <c r="BB43" i="6"/>
  <c r="BB40" i="6"/>
  <c r="BC8" i="6"/>
  <c r="AW63" i="6" s="1"/>
  <c r="BC48" i="6"/>
  <c r="BB51" i="6"/>
  <c r="BB27" i="6"/>
  <c r="AW82" i="6" s="1"/>
  <c r="BB9" i="6"/>
  <c r="BB12" i="6"/>
  <c r="AW67" i="6" s="1"/>
  <c r="BB26" i="6"/>
  <c r="BC51" i="6"/>
  <c r="BB36" i="6"/>
  <c r="BB30" i="6"/>
  <c r="AW85" i="6" s="1"/>
  <c r="BB45" i="6"/>
  <c r="BC25" i="6"/>
  <c r="AW80" i="6" s="1"/>
  <c r="BB55" i="6"/>
  <c r="BB4" i="6"/>
  <c r="AW59" i="6" s="1"/>
  <c r="BB47" i="6"/>
  <c r="BC9" i="6"/>
  <c r="AY10" i="6"/>
  <c r="BB29" i="6"/>
  <c r="AY45" i="6"/>
  <c r="BC47" i="6"/>
  <c r="BB41" i="6"/>
  <c r="BB35" i="6"/>
  <c r="AW90" i="6" s="1"/>
  <c r="BB32" i="6"/>
  <c r="BB22" i="6"/>
  <c r="BB31" i="6"/>
  <c r="BB21" i="6"/>
  <c r="AY40" i="6"/>
  <c r="AZ6" i="6"/>
  <c r="BC3" i="6"/>
  <c r="AY49" i="6"/>
  <c r="Q86" i="2"/>
  <c r="R86" i="2" s="1"/>
  <c r="AW37" i="6"/>
  <c r="AZ50" i="6"/>
  <c r="AY46" i="6"/>
  <c r="AY42" i="6"/>
  <c r="AW11" i="6"/>
  <c r="AW6" i="6"/>
  <c r="AY7" i="6"/>
  <c r="AS39" i="6"/>
  <c r="AV44" i="6"/>
  <c r="AR48" i="6"/>
  <c r="AV49" i="6"/>
  <c r="AV48" i="6"/>
  <c r="AY41" i="6"/>
  <c r="AY35" i="6"/>
  <c r="AU90" i="6" s="1"/>
  <c r="AV36" i="6"/>
  <c r="AR34" i="6"/>
  <c r="AN31" i="6"/>
  <c r="AQ22" i="6"/>
  <c r="AO32" i="6"/>
  <c r="AO12" i="6"/>
  <c r="AM67" i="6" s="1"/>
  <c r="AS40" i="6"/>
  <c r="AN10" i="6"/>
  <c r="AY17" i="6"/>
  <c r="AT53" i="6"/>
  <c r="AN48" i="6"/>
  <c r="AW30" i="6"/>
  <c r="AT30" i="6"/>
  <c r="AQ85" i="6" s="1"/>
  <c r="AZ27" i="6"/>
  <c r="AZ52" i="6"/>
  <c r="AS29" i="6"/>
  <c r="AW43" i="6"/>
  <c r="AV13" i="6"/>
  <c r="AS43" i="6"/>
  <c r="AO17" i="6"/>
  <c r="AZ10" i="6"/>
  <c r="AU65" i="6" s="1"/>
  <c r="AO14" i="6"/>
  <c r="AS53" i="6"/>
  <c r="AR14" i="6"/>
  <c r="AZ41" i="6"/>
  <c r="AZ24" i="6"/>
  <c r="AZ53" i="6"/>
  <c r="AO54" i="6"/>
  <c r="AV39" i="6"/>
  <c r="AY32" i="6"/>
  <c r="AN17" i="6"/>
  <c r="AZ25" i="6"/>
  <c r="AY16" i="6"/>
  <c r="AU71" i="6" s="1"/>
  <c r="AZ5" i="6"/>
  <c r="AY53" i="6"/>
  <c r="AS20" i="6"/>
  <c r="AZ7" i="6"/>
  <c r="AY25" i="6"/>
  <c r="AW28" i="6"/>
  <c r="AS27" i="6"/>
  <c r="AZ17" i="6"/>
  <c r="AU72" i="6" s="1"/>
  <c r="AY52" i="6"/>
  <c r="AZ54" i="6"/>
  <c r="AY20" i="6"/>
  <c r="AW7" i="6"/>
  <c r="AY50" i="6"/>
  <c r="AY36" i="6"/>
  <c r="AY44" i="6"/>
  <c r="AY21" i="6"/>
  <c r="AU76" i="6" s="1"/>
  <c r="AZ34" i="6"/>
  <c r="AY9" i="6"/>
  <c r="AV5" i="6"/>
  <c r="AZ26" i="6"/>
  <c r="AY34" i="6"/>
  <c r="AZ31" i="6"/>
  <c r="AY33" i="6"/>
  <c r="AY18" i="6"/>
  <c r="AZ45" i="6"/>
  <c r="AZ40" i="6"/>
  <c r="AY15" i="6"/>
  <c r="AY24" i="6"/>
  <c r="AZ28" i="6"/>
  <c r="AS42" i="6"/>
  <c r="AY39" i="6"/>
  <c r="AU94" i="6" s="1"/>
  <c r="AY26" i="6"/>
  <c r="AZ51" i="6"/>
  <c r="AY51" i="6"/>
  <c r="AZ46" i="6"/>
  <c r="AZ47" i="6"/>
  <c r="AZ36" i="6"/>
  <c r="AZ33" i="6"/>
  <c r="AY54" i="6"/>
  <c r="AZ4" i="6"/>
  <c r="AZ48" i="6"/>
  <c r="AY31" i="6"/>
  <c r="AY47" i="6"/>
  <c r="AZ44" i="6"/>
  <c r="AZ30" i="6"/>
  <c r="AU85" i="6" s="1"/>
  <c r="AY19" i="6"/>
  <c r="AZ19" i="6"/>
  <c r="AY55" i="6"/>
  <c r="AU110" i="6" s="1"/>
  <c r="AY4" i="6"/>
  <c r="AZ8" i="6"/>
  <c r="AZ49" i="6"/>
  <c r="AY27" i="6"/>
  <c r="AZ9" i="6"/>
  <c r="AZ23" i="6"/>
  <c r="AZ29" i="6"/>
  <c r="AZ11" i="6"/>
  <c r="AY29" i="6"/>
  <c r="AY11" i="6"/>
  <c r="AY37" i="6"/>
  <c r="AY6" i="6"/>
  <c r="AZ20" i="6"/>
  <c r="AZ38" i="6"/>
  <c r="AZ32" i="6"/>
  <c r="AU87" i="6" s="1"/>
  <c r="AZ22" i="6"/>
  <c r="AU77" i="6" s="1"/>
  <c r="AY28" i="6"/>
  <c r="AV17" i="6"/>
  <c r="AV34" i="6"/>
  <c r="AZ3" i="6"/>
  <c r="Q111" i="2"/>
  <c r="R111" i="2" s="1"/>
  <c r="Q158" i="2"/>
  <c r="R158" i="2" s="1"/>
  <c r="Q147" i="2"/>
  <c r="R147" i="2" s="1"/>
  <c r="Q102" i="2"/>
  <c r="R102" i="2" s="1"/>
  <c r="AY70" i="6"/>
  <c r="Q95" i="2"/>
  <c r="R95" i="2" s="1"/>
  <c r="AW10" i="6"/>
  <c r="AW39" i="6"/>
  <c r="Q211" i="2"/>
  <c r="R211" i="2" s="1"/>
  <c r="Q151" i="2"/>
  <c r="R151" i="2" s="1"/>
  <c r="Q181" i="2"/>
  <c r="R181" i="2" s="1"/>
  <c r="Q174" i="2"/>
  <c r="R174" i="2" s="1"/>
  <c r="Q165" i="2"/>
  <c r="R165" i="2" s="1"/>
  <c r="AS32" i="6"/>
  <c r="Q149" i="2"/>
  <c r="R149" i="2" s="1"/>
  <c r="Q141" i="2"/>
  <c r="R141" i="2" s="1"/>
  <c r="Q107" i="2"/>
  <c r="R107" i="2" s="1"/>
  <c r="Q145" i="2"/>
  <c r="R145" i="2" s="1"/>
  <c r="Q134" i="2"/>
  <c r="R134" i="2" s="1"/>
  <c r="Q116" i="2"/>
  <c r="R116" i="2" s="1"/>
  <c r="Q168" i="2"/>
  <c r="R168" i="2" s="1"/>
  <c r="Q123" i="2"/>
  <c r="R123" i="2" s="1"/>
  <c r="Q136" i="2"/>
  <c r="R136" i="2" s="1"/>
  <c r="Q122" i="2"/>
  <c r="R122" i="2" s="1"/>
  <c r="Q113" i="2"/>
  <c r="R113" i="2" s="1"/>
  <c r="Q109" i="2"/>
  <c r="R109" i="2" s="1"/>
  <c r="Q99" i="2"/>
  <c r="R99" i="2" s="1"/>
  <c r="AV15" i="6"/>
  <c r="Q90" i="2"/>
  <c r="R90" i="2" s="1"/>
  <c r="Q64" i="2"/>
  <c r="R64" i="2" s="1"/>
  <c r="AQ32" i="6"/>
  <c r="AR19" i="6"/>
  <c r="AO22" i="6"/>
  <c r="AQ19" i="6"/>
  <c r="Q62" i="2"/>
  <c r="R62" i="2" s="1"/>
  <c r="Q91" i="2"/>
  <c r="R91" i="2" s="1"/>
  <c r="AQ31" i="6"/>
  <c r="Q98" i="2"/>
  <c r="R98" i="2" s="1"/>
  <c r="Q82" i="2"/>
  <c r="R82" i="2" s="1"/>
  <c r="Q78" i="2"/>
  <c r="R78" i="2" s="1"/>
  <c r="Q83" i="2"/>
  <c r="R83" i="2" s="1"/>
  <c r="Q65" i="2"/>
  <c r="R65" i="2" s="1"/>
  <c r="Q81" i="2"/>
  <c r="R81" i="2" s="1"/>
  <c r="Q72" i="2"/>
  <c r="R72" i="2" s="1"/>
  <c r="Q67" i="2"/>
  <c r="R67" i="2" s="1"/>
  <c r="Q63" i="2"/>
  <c r="R63" i="2" s="1"/>
  <c r="Q94" i="2"/>
  <c r="R94" i="2" s="1"/>
  <c r="Q80" i="2"/>
  <c r="R80" i="2" s="1"/>
  <c r="AW9" i="6"/>
  <c r="AS64" i="6" s="1"/>
  <c r="Q204" i="2"/>
  <c r="R204" i="2" s="1"/>
  <c r="Q195" i="2"/>
  <c r="R195" i="2" s="1"/>
  <c r="Q185" i="2"/>
  <c r="R185" i="2" s="1"/>
  <c r="AN54" i="6"/>
  <c r="AN52" i="6"/>
  <c r="AO55" i="6"/>
  <c r="AN40" i="6"/>
  <c r="AW40" i="6"/>
  <c r="AQ34" i="6"/>
  <c r="Q210" i="2"/>
  <c r="R210" i="2" s="1"/>
  <c r="AV47" i="6"/>
  <c r="AW29" i="6"/>
  <c r="AV23" i="6"/>
  <c r="AV45" i="6"/>
  <c r="AR11" i="6"/>
  <c r="AQ28" i="6"/>
  <c r="AO5" i="6"/>
  <c r="AS17" i="6"/>
  <c r="AQ37" i="6"/>
  <c r="AS13" i="6"/>
  <c r="AT35" i="6"/>
  <c r="AW32" i="6"/>
  <c r="AT25" i="6"/>
  <c r="Q139" i="2"/>
  <c r="R139" i="2" s="1"/>
  <c r="AV37" i="6"/>
  <c r="AY3" i="6"/>
  <c r="AW34" i="6"/>
  <c r="AO20" i="6"/>
  <c r="AT36" i="6"/>
  <c r="AQ91" i="6" s="1"/>
  <c r="AW45" i="6"/>
  <c r="Q128" i="2"/>
  <c r="R128" i="2" s="1"/>
  <c r="AW27" i="6"/>
  <c r="AW26" i="6"/>
  <c r="AW47" i="6"/>
  <c r="AV28" i="6"/>
  <c r="AS83" i="6" s="1"/>
  <c r="AW22" i="6"/>
  <c r="AW55" i="6"/>
  <c r="AV26" i="6"/>
  <c r="AV31" i="6"/>
  <c r="AV21" i="6"/>
  <c r="AW33" i="6"/>
  <c r="AW5" i="6"/>
  <c r="AV10" i="6"/>
  <c r="AW17" i="6"/>
  <c r="AW54" i="6"/>
  <c r="AW25" i="6"/>
  <c r="AW4" i="6"/>
  <c r="AV46" i="6"/>
  <c r="AW49" i="6"/>
  <c r="AW41" i="6"/>
  <c r="AS96" i="6" s="1"/>
  <c r="AV35" i="6"/>
  <c r="AW31" i="6"/>
  <c r="AW21" i="6"/>
  <c r="AV30" i="6"/>
  <c r="AS85" i="6" s="1"/>
  <c r="AV42" i="6"/>
  <c r="AW52" i="6"/>
  <c r="AV55" i="6"/>
  <c r="AV4" i="6"/>
  <c r="AQ26" i="6"/>
  <c r="AV51" i="6"/>
  <c r="AW46" i="6"/>
  <c r="AW44" i="6"/>
  <c r="AW35" i="6"/>
  <c r="AW15" i="6"/>
  <c r="AW13" i="6"/>
  <c r="AV54" i="6"/>
  <c r="AV25" i="6"/>
  <c r="AW50" i="6"/>
  <c r="AW8" i="6"/>
  <c r="AW48" i="6"/>
  <c r="AS103" i="6" s="1"/>
  <c r="AW36" i="6"/>
  <c r="AV32" i="6"/>
  <c r="AV22" i="6"/>
  <c r="AV6" i="6"/>
  <c r="AO6" i="6"/>
  <c r="AV38" i="6"/>
  <c r="AS93" i="6" s="1"/>
  <c r="AV7" i="6"/>
  <c r="AW51" i="6"/>
  <c r="AV52" i="6"/>
  <c r="AT6" i="6"/>
  <c r="AV50" i="6"/>
  <c r="AW19" i="6"/>
  <c r="AV33" i="6"/>
  <c r="AV19" i="6"/>
  <c r="AV27" i="6"/>
  <c r="AR50" i="6"/>
  <c r="AR13" i="6"/>
  <c r="AQ50" i="6"/>
  <c r="AT55" i="6"/>
  <c r="AT4" i="6"/>
  <c r="AR26" i="6"/>
  <c r="AS21" i="6"/>
  <c r="AW3" i="6"/>
  <c r="Q188" i="2"/>
  <c r="R188" i="2" s="1"/>
  <c r="Q153" i="2"/>
  <c r="R153" i="2" s="1"/>
  <c r="AR49" i="6"/>
  <c r="AT41" i="6"/>
  <c r="AT47" i="6"/>
  <c r="AQ48" i="6"/>
  <c r="AO103" i="6" s="1"/>
  <c r="AS6" i="6"/>
  <c r="AO40" i="6"/>
  <c r="AT39" i="6"/>
  <c r="AN50" i="6"/>
  <c r="AT33" i="6"/>
  <c r="AR35" i="6"/>
  <c r="AR24" i="6"/>
  <c r="AO79" i="6" s="1"/>
  <c r="AT9" i="6"/>
  <c r="AT5" i="6"/>
  <c r="AT29" i="6"/>
  <c r="AT23" i="6"/>
  <c r="AQ78" i="6" s="1"/>
  <c r="AT45" i="6"/>
  <c r="AT26" i="6"/>
  <c r="AS51" i="6"/>
  <c r="AT46" i="6"/>
  <c r="AQ44" i="6"/>
  <c r="AT34" i="6"/>
  <c r="AR31" i="6"/>
  <c r="AT22" i="6"/>
  <c r="AR32" i="6"/>
  <c r="AR22" i="6"/>
  <c r="AO77" i="6" s="1"/>
  <c r="AT19" i="6"/>
  <c r="AR36" i="6"/>
  <c r="AR27" i="6"/>
  <c r="AS24" i="6"/>
  <c r="AQ15" i="6"/>
  <c r="AR5" i="6"/>
  <c r="AQ52" i="6"/>
  <c r="AS10" i="6"/>
  <c r="AT7" i="6"/>
  <c r="AR47" i="6"/>
  <c r="AO102" i="6" s="1"/>
  <c r="AS48" i="6"/>
  <c r="AR33" i="6"/>
  <c r="AR44" i="6"/>
  <c r="AS28" i="6"/>
  <c r="AT31" i="6"/>
  <c r="AT21" i="6"/>
  <c r="AS19" i="6"/>
  <c r="AQ74" i="6" s="1"/>
  <c r="AT17" i="6"/>
  <c r="AT52" i="6"/>
  <c r="AS45" i="6"/>
  <c r="AT50" i="6"/>
  <c r="AS55" i="6"/>
  <c r="AQ110" i="6" s="1"/>
  <c r="AS26" i="6"/>
  <c r="AT48" i="6"/>
  <c r="AT51" i="6"/>
  <c r="AQ36" i="6"/>
  <c r="AS49" i="6"/>
  <c r="AQ46" i="6"/>
  <c r="AT28" i="6"/>
  <c r="AR15" i="6"/>
  <c r="AR23" i="6"/>
  <c r="Q108" i="2"/>
  <c r="R108" i="2" s="1"/>
  <c r="AQ21" i="6"/>
  <c r="AQ16" i="6"/>
  <c r="AQ42" i="6"/>
  <c r="AQ10" i="6"/>
  <c r="AT54" i="6"/>
  <c r="AT40" i="6"/>
  <c r="AQ95" i="6" s="1"/>
  <c r="AS25" i="6"/>
  <c r="AQ80" i="6" s="1"/>
  <c r="AR4" i="6"/>
  <c r="AS4" i="6"/>
  <c r="AR37" i="6"/>
  <c r="AS33" i="6"/>
  <c r="AS31" i="6"/>
  <c r="AR21" i="6"/>
  <c r="AS9" i="6"/>
  <c r="AS16" i="6"/>
  <c r="AS5" i="6"/>
  <c r="AQ60" i="6" s="1"/>
  <c r="AS11" i="6"/>
  <c r="AQ66" i="6" s="1"/>
  <c r="AR25" i="6"/>
  <c r="AQ4" i="6"/>
  <c r="AR42" i="6"/>
  <c r="AQ51" i="6"/>
  <c r="AR46" i="6"/>
  <c r="AQ33" i="6"/>
  <c r="AS34" i="6"/>
  <c r="AQ89" i="6" s="1"/>
  <c r="AT24" i="6"/>
  <c r="AQ27" i="6"/>
  <c r="AQ9" i="6"/>
  <c r="AS52" i="6"/>
  <c r="AT13" i="6"/>
  <c r="AQ68" i="6" s="1"/>
  <c r="AQ54" i="6"/>
  <c r="AS54" i="6"/>
  <c r="AS7" i="6"/>
  <c r="AS50" i="6"/>
  <c r="AT44" i="6"/>
  <c r="AR51" i="6"/>
  <c r="AS46" i="6"/>
  <c r="AQ30" i="6"/>
  <c r="AO85" i="6" s="1"/>
  <c r="AR53" i="6"/>
  <c r="AR45" i="6"/>
  <c r="AT10" i="6"/>
  <c r="AR52" i="6"/>
  <c r="AN3" i="6"/>
  <c r="AS3" i="6"/>
  <c r="AT49" i="6"/>
  <c r="AS44" i="6"/>
  <c r="AS22" i="6"/>
  <c r="AQ77" i="6" s="1"/>
  <c r="AT27" i="6"/>
  <c r="AR9" i="6"/>
  <c r="AO27" i="6"/>
  <c r="AT3" i="6"/>
  <c r="AN37" i="6"/>
  <c r="AM92" i="6" s="1"/>
  <c r="AO42" i="6"/>
  <c r="AO46" i="6"/>
  <c r="AN49" i="6"/>
  <c r="AO53" i="6"/>
  <c r="AO51" i="6"/>
  <c r="AO49" i="6"/>
  <c r="AO10" i="6"/>
  <c r="AO29" i="6"/>
  <c r="AO7" i="6"/>
  <c r="AO34" i="6"/>
  <c r="AO50" i="6"/>
  <c r="AM105" i="6" s="1"/>
  <c r="AO25" i="6"/>
  <c r="AO45" i="6"/>
  <c r="AO48" i="6"/>
  <c r="AM103" i="6" s="1"/>
  <c r="AO33" i="6"/>
  <c r="AO28" i="6"/>
  <c r="AO11" i="6"/>
  <c r="AO39" i="6"/>
  <c r="AO31" i="6"/>
  <c r="AM86" i="6" s="1"/>
  <c r="AO16" i="6"/>
  <c r="AO18" i="6"/>
  <c r="AM73" i="6" s="1"/>
  <c r="AO36" i="6"/>
  <c r="AO44" i="6"/>
  <c r="AO30" i="6"/>
  <c r="AM85" i="6" s="1"/>
  <c r="AO19" i="6"/>
  <c r="AO3" i="6"/>
  <c r="AO4" i="6"/>
  <c r="AO26" i="6"/>
  <c r="AM81" i="6" s="1"/>
  <c r="AO47" i="6"/>
  <c r="AN32" i="6"/>
  <c r="AO9" i="6"/>
  <c r="AO52" i="6"/>
  <c r="AN4" i="6"/>
  <c r="AN41" i="6"/>
  <c r="AM96" i="6" s="1"/>
  <c r="AN19" i="6"/>
  <c r="AN14" i="6"/>
  <c r="AM69" i="6" s="1"/>
  <c r="AW61" i="6"/>
  <c r="AN45" i="6"/>
  <c r="AN42" i="6"/>
  <c r="AN44" i="6"/>
  <c r="AN21" i="6"/>
  <c r="AM76" i="6" s="1"/>
  <c r="AN9" i="6"/>
  <c r="AN7" i="6"/>
  <c r="AN28" i="6"/>
  <c r="AN13" i="6"/>
  <c r="AM68" i="6" s="1"/>
  <c r="AN39" i="6"/>
  <c r="AN33" i="6"/>
  <c r="AM88" i="6" s="1"/>
  <c r="AN5" i="6"/>
  <c r="AM60" i="6" s="1"/>
  <c r="AN22" i="6"/>
  <c r="AM77" i="6" s="1"/>
  <c r="AN24" i="6"/>
  <c r="AM79" i="6" s="1"/>
  <c r="AN55" i="6"/>
  <c r="AM110" i="6" s="1"/>
  <c r="AN51" i="6"/>
  <c r="AN46" i="6"/>
  <c r="AN36" i="6"/>
  <c r="AN16" i="6"/>
  <c r="AN38" i="6"/>
  <c r="AM93" i="6" s="1"/>
  <c r="AN29" i="6"/>
  <c r="AN6" i="6"/>
  <c r="AN20" i="6"/>
  <c r="AM75" i="6" s="1"/>
  <c r="AN25" i="6"/>
  <c r="AN47" i="6"/>
  <c r="AN53" i="6"/>
  <c r="Q207" i="2"/>
  <c r="R207" i="2" s="1"/>
  <c r="AN34" i="6"/>
  <c r="AN27" i="6"/>
  <c r="AM82" i="6" s="1"/>
  <c r="AN11" i="6"/>
  <c r="Q172" i="2"/>
  <c r="R172" i="2" s="1"/>
  <c r="Q135" i="2"/>
  <c r="R135" i="2" s="1"/>
  <c r="AU78" i="6"/>
  <c r="AQ73" i="6"/>
  <c r="Q61" i="2"/>
  <c r="R61" i="2" s="1"/>
  <c r="Q96" i="2"/>
  <c r="R96" i="2" s="1"/>
  <c r="AW79" i="6"/>
  <c r="Q189" i="2"/>
  <c r="R189" i="2" s="1"/>
  <c r="Q202" i="2"/>
  <c r="R202" i="2" s="1"/>
  <c r="Q199" i="2"/>
  <c r="R199" i="2" s="1"/>
  <c r="Q206" i="2"/>
  <c r="R206" i="2" s="1"/>
  <c r="Q216" i="2"/>
  <c r="R216" i="2" s="1"/>
  <c r="Q205" i="2"/>
  <c r="R205" i="2" s="1"/>
  <c r="Q203" i="2"/>
  <c r="R203" i="2" s="1"/>
  <c r="Q179" i="2"/>
  <c r="R179" i="2" s="1"/>
  <c r="Q180" i="2"/>
  <c r="R180" i="2" s="1"/>
  <c r="Q114" i="2"/>
  <c r="R114" i="2" s="1"/>
  <c r="Q144" i="2"/>
  <c r="R144" i="2" s="1"/>
  <c r="Q89" i="2"/>
  <c r="R89" i="2" s="1"/>
  <c r="Q66" i="2"/>
  <c r="R66" i="2" s="1"/>
  <c r="Q79" i="2"/>
  <c r="R79" i="2" s="1"/>
  <c r="Q75" i="2"/>
  <c r="R75" i="2" s="1"/>
  <c r="Q85" i="2"/>
  <c r="R85" i="2" s="1"/>
  <c r="Q76" i="2"/>
  <c r="R76" i="2" s="1"/>
  <c r="Q222" i="2"/>
  <c r="R222" i="2" s="1"/>
  <c r="Q197" i="2"/>
  <c r="R197" i="2" s="1"/>
  <c r="Q162" i="2"/>
  <c r="R162" i="2" s="1"/>
  <c r="Q152" i="2"/>
  <c r="R152" i="2" s="1"/>
  <c r="Q140" i="2"/>
  <c r="R140" i="2" s="1"/>
  <c r="Q105" i="2"/>
  <c r="R105" i="2" s="1"/>
  <c r="Q160" i="2"/>
  <c r="R160" i="2" s="1"/>
  <c r="Q164" i="2"/>
  <c r="R164" i="2" s="1"/>
  <c r="Q220" i="2"/>
  <c r="R220" i="2" s="1"/>
  <c r="Q182" i="2"/>
  <c r="R182" i="2" s="1"/>
  <c r="Q219" i="2"/>
  <c r="R219" i="2" s="1"/>
  <c r="Q170" i="2"/>
  <c r="R170" i="2" s="1"/>
  <c r="Q169" i="2"/>
  <c r="R169" i="2" s="1"/>
  <c r="Q155" i="2"/>
  <c r="R155" i="2" s="1"/>
  <c r="Q137" i="2"/>
  <c r="R137" i="2" s="1"/>
  <c r="Q100" i="2"/>
  <c r="R100" i="2" s="1"/>
  <c r="Q97" i="2"/>
  <c r="R97" i="2" s="1"/>
  <c r="Q215" i="2"/>
  <c r="R215" i="2" s="1"/>
  <c r="Q167" i="2"/>
  <c r="R167" i="2" s="1"/>
  <c r="Q104" i="2"/>
  <c r="R104" i="2" s="1"/>
  <c r="AY75" i="6"/>
  <c r="AW110" i="6"/>
  <c r="Q200" i="2"/>
  <c r="R200" i="2" s="1"/>
  <c r="Q191" i="2"/>
  <c r="R191" i="2" s="1"/>
  <c r="Q74" i="2"/>
  <c r="R74" i="2" s="1"/>
  <c r="Q156" i="2"/>
  <c r="R156" i="2" s="1"/>
  <c r="AY98" i="6"/>
  <c r="Q193" i="2"/>
  <c r="R193" i="2" s="1"/>
  <c r="Q146" i="2"/>
  <c r="R146" i="2" s="1"/>
  <c r="Q175" i="2"/>
  <c r="R175" i="2" s="1"/>
  <c r="Q209" i="2"/>
  <c r="R209" i="2" s="1"/>
  <c r="Q118" i="2"/>
  <c r="R118" i="2" s="1"/>
  <c r="Q150" i="2"/>
  <c r="R150" i="2" s="1"/>
  <c r="Q178" i="2"/>
  <c r="R178" i="2" s="1"/>
  <c r="Q148" i="2"/>
  <c r="R148" i="2" s="1"/>
  <c r="Q143" i="2"/>
  <c r="R143" i="2" s="1"/>
  <c r="Q125" i="2"/>
  <c r="R125" i="2" s="1"/>
  <c r="AY84" i="6"/>
  <c r="AY81" i="6"/>
  <c r="Q73" i="2"/>
  <c r="R73" i="2" s="1"/>
  <c r="Q121" i="2"/>
  <c r="R121" i="2" s="1"/>
  <c r="Q71" i="2"/>
  <c r="R71" i="2" s="1"/>
  <c r="AW75" i="6"/>
  <c r="AS58" i="6"/>
  <c r="Q154" i="2"/>
  <c r="R154" i="2" s="1"/>
  <c r="Q88" i="2"/>
  <c r="R88" i="2" s="1"/>
  <c r="Q126" i="2"/>
  <c r="R126" i="2" s="1"/>
  <c r="Q103" i="2"/>
  <c r="R103" i="2" s="1"/>
  <c r="Q84" i="2"/>
  <c r="R84" i="2" s="1"/>
  <c r="AW66" i="6"/>
  <c r="AW108" i="6"/>
  <c r="Q171" i="2"/>
  <c r="R171" i="2" s="1"/>
  <c r="Q184" i="2"/>
  <c r="R184" i="2" s="1"/>
  <c r="Q177" i="2"/>
  <c r="R177" i="2" s="1"/>
  <c r="Q133" i="2"/>
  <c r="R133" i="2" s="1"/>
  <c r="Q124" i="2"/>
  <c r="R124" i="2" s="1"/>
  <c r="Q120" i="2"/>
  <c r="R120" i="2" s="1"/>
  <c r="Q110" i="2"/>
  <c r="R110" i="2" s="1"/>
  <c r="Q106" i="2"/>
  <c r="R106" i="2" s="1"/>
  <c r="Q92" i="2"/>
  <c r="R92" i="2" s="1"/>
  <c r="Q69" i="2"/>
  <c r="R69" i="2" s="1"/>
  <c r="Q77" i="2"/>
  <c r="R77" i="2" s="1"/>
  <c r="Q68" i="2"/>
  <c r="R68" i="2" s="1"/>
  <c r="AW98" i="6"/>
  <c r="AQ81" i="6"/>
  <c r="Q198" i="2"/>
  <c r="R198" i="2" s="1"/>
  <c r="Q159" i="2"/>
  <c r="R159" i="2" s="1"/>
  <c r="AY108" i="6"/>
  <c r="AU95" i="6"/>
  <c r="Q194" i="2"/>
  <c r="R194" i="2" s="1"/>
  <c r="Q214" i="2"/>
  <c r="R214" i="2" s="1"/>
  <c r="Q196" i="2"/>
  <c r="R196" i="2" s="1"/>
  <c r="Q217" i="2"/>
  <c r="R217" i="2" s="1"/>
  <c r="Q213" i="2"/>
  <c r="R213" i="2" s="1"/>
  <c r="Q208" i="2"/>
  <c r="R208" i="2" s="1"/>
  <c r="Q173" i="2"/>
  <c r="R173" i="2" s="1"/>
  <c r="Q127" i="2"/>
  <c r="R127" i="2" s="1"/>
  <c r="Q166" i="2"/>
  <c r="R166" i="2" s="1"/>
  <c r="Q161" i="2"/>
  <c r="R161" i="2" s="1"/>
  <c r="AW91" i="6"/>
  <c r="Q70" i="2"/>
  <c r="R70" i="2" s="1"/>
  <c r="F46" i="2"/>
  <c r="AR54" i="6" s="1"/>
  <c r="E56" i="2"/>
  <c r="AQ14" i="6" s="1"/>
  <c r="F11" i="2"/>
  <c r="AR3" i="6" s="1"/>
  <c r="E28" i="2"/>
  <c r="AQ6" i="6" s="1"/>
  <c r="E39" i="2"/>
  <c r="AQ7" i="6" s="1"/>
  <c r="F24" i="2"/>
  <c r="AR55" i="6" s="1"/>
  <c r="Q138" i="2"/>
  <c r="R138" i="2" s="1"/>
  <c r="Q201" i="2"/>
  <c r="R201" i="2" s="1"/>
  <c r="E45" i="2"/>
  <c r="AQ43" i="6" s="1"/>
  <c r="F43" i="2"/>
  <c r="AR29" i="6" s="1"/>
  <c r="F50" i="2"/>
  <c r="AR20" i="6" s="1"/>
  <c r="E34" i="2"/>
  <c r="AQ40" i="6" s="1"/>
  <c r="E24" i="2"/>
  <c r="AQ55" i="6" s="1"/>
  <c r="Q129" i="2"/>
  <c r="R129" i="2" s="1"/>
  <c r="Q112" i="2"/>
  <c r="R112" i="2" s="1"/>
  <c r="Q186" i="2"/>
  <c r="R186" i="2" s="1"/>
  <c r="Q192" i="2"/>
  <c r="R192" i="2" s="1"/>
  <c r="Q187" i="2"/>
  <c r="R187" i="2" s="1"/>
  <c r="Q101" i="2"/>
  <c r="R101" i="2" s="1"/>
  <c r="Q190" i="2"/>
  <c r="R190" i="2" s="1"/>
  <c r="Q117" i="2"/>
  <c r="R117" i="2" s="1"/>
  <c r="Q163" i="2"/>
  <c r="R163" i="2" s="1"/>
  <c r="F39" i="2"/>
  <c r="AR7" i="6" s="1"/>
  <c r="E42" i="2"/>
  <c r="AQ38" i="6" s="1"/>
  <c r="E52" i="2"/>
  <c r="Q52" i="2" s="1"/>
  <c r="R52" i="2" s="1"/>
  <c r="E35" i="2"/>
  <c r="AQ25" i="6" s="1"/>
  <c r="Q142" i="2"/>
  <c r="R142" i="2" s="1"/>
  <c r="Q132" i="2"/>
  <c r="R132" i="2" s="1"/>
  <c r="Q119" i="2"/>
  <c r="R119" i="2" s="1"/>
  <c r="AQ97" i="6"/>
  <c r="F26" i="2"/>
  <c r="AR10" i="6" s="1"/>
  <c r="E38" i="2"/>
  <c r="AQ23" i="6" s="1"/>
  <c r="F34" i="2"/>
  <c r="AR40" i="6" s="1"/>
  <c r="E58" i="2"/>
  <c r="AQ13" i="6" s="1"/>
  <c r="Q218" i="2"/>
  <c r="R218" i="2" s="1"/>
  <c r="Q87" i="2"/>
  <c r="R87" i="2" s="1"/>
  <c r="AM70" i="6"/>
  <c r="Q93" i="2"/>
  <c r="R93" i="2" s="1"/>
  <c r="F60" i="2"/>
  <c r="AR18" i="6" s="1"/>
  <c r="E31" i="2"/>
  <c r="Q31" i="2" s="1"/>
  <c r="R31" i="2" s="1"/>
  <c r="E60" i="2"/>
  <c r="AQ18" i="6" s="1"/>
  <c r="E37" i="2"/>
  <c r="AQ39" i="6" s="1"/>
  <c r="AL114" i="7"/>
  <c r="E43" i="2"/>
  <c r="E29" i="2"/>
  <c r="Q29" i="2" s="1"/>
  <c r="R29" i="2" s="1"/>
  <c r="E33" i="2"/>
  <c r="AQ53" i="6" s="1"/>
  <c r="AU92" i="6"/>
  <c r="F47" i="2"/>
  <c r="AR12" i="6" s="1"/>
  <c r="Q183" i="2"/>
  <c r="R183" i="2" s="1"/>
  <c r="Q115" i="2"/>
  <c r="R115" i="2" s="1"/>
  <c r="Q176" i="2"/>
  <c r="R176" i="2" s="1"/>
  <c r="Q157" i="2"/>
  <c r="R157" i="2" s="1"/>
  <c r="Q212" i="2"/>
  <c r="R212" i="2" s="1"/>
  <c r="E50" i="2"/>
  <c r="AQ20" i="6" s="1"/>
  <c r="Q32" i="2"/>
  <c r="R32" i="2" s="1"/>
  <c r="F48" i="2"/>
  <c r="AR17" i="6" s="1"/>
  <c r="AY92" i="6"/>
  <c r="E47" i="2"/>
  <c r="AQ12" i="6" s="1"/>
  <c r="AQ100" i="6"/>
  <c r="E18" i="2"/>
  <c r="Q221" i="2"/>
  <c r="R221" i="2" s="1"/>
  <c r="F42" i="2"/>
  <c r="E48" i="2"/>
  <c r="F45" i="2"/>
  <c r="AR43" i="6" s="1"/>
  <c r="F16" i="2"/>
  <c r="E22" i="2"/>
  <c r="F37" i="2"/>
  <c r="AR39" i="6" s="1"/>
  <c r="F59" i="2"/>
  <c r="Q59" i="2" s="1"/>
  <c r="R59" i="2" s="1"/>
  <c r="Q131" i="2"/>
  <c r="R131" i="2" s="1"/>
  <c r="AL162" i="8"/>
  <c r="AL159" i="8"/>
  <c r="AL143" i="8"/>
  <c r="AL165" i="8"/>
  <c r="AL145" i="8"/>
  <c r="AL155" i="8"/>
  <c r="AL151" i="8"/>
  <c r="AL147" i="8"/>
  <c r="AL132" i="8"/>
  <c r="AA3" i="8"/>
  <c r="AL139" i="8"/>
  <c r="AL6" i="8"/>
  <c r="AL19" i="8"/>
  <c r="AL127" i="8"/>
  <c r="AL12" i="8"/>
  <c r="AL18" i="8"/>
  <c r="AL17" i="8"/>
  <c r="AL9" i="8"/>
  <c r="AL86" i="8"/>
  <c r="AL8" i="8"/>
  <c r="AL163" i="8"/>
  <c r="Z3" i="8"/>
  <c r="AL105" i="8"/>
  <c r="AL20" i="8"/>
  <c r="AL161" i="8"/>
  <c r="AL157" i="8"/>
  <c r="AL153" i="8"/>
  <c r="AL149" i="8"/>
  <c r="AL141" i="8"/>
  <c r="AL137" i="8"/>
  <c r="AL135" i="8"/>
  <c r="AL129" i="8"/>
  <c r="AL82" i="8"/>
  <c r="AL109" i="8"/>
  <c r="AL78" i="8"/>
  <c r="AL142" i="8"/>
  <c r="AL108" i="8"/>
  <c r="AL89" i="8"/>
  <c r="AL54" i="8"/>
  <c r="AL46" i="8"/>
  <c r="AL38" i="8"/>
  <c r="AL30" i="8"/>
  <c r="AL76" i="8"/>
  <c r="AL107" i="8"/>
  <c r="AL11" i="8"/>
  <c r="AL92" i="8"/>
  <c r="AL152" i="8"/>
  <c r="AL136" i="8"/>
  <c r="AL98" i="8"/>
  <c r="AL121" i="8"/>
  <c r="AL103" i="8"/>
  <c r="AL120" i="8"/>
  <c r="AL114" i="8"/>
  <c r="AL99" i="8"/>
  <c r="AL62" i="8"/>
  <c r="AL126" i="8"/>
  <c r="AL63" i="8"/>
  <c r="AL73" i="8"/>
  <c r="AL87" i="8"/>
  <c r="AL24" i="8"/>
  <c r="AL65" i="8"/>
  <c r="AL164" i="8"/>
  <c r="AL148" i="8"/>
  <c r="AL74" i="8"/>
  <c r="AL133" i="8"/>
  <c r="AL158" i="8"/>
  <c r="AL122" i="8"/>
  <c r="AL110" i="8"/>
  <c r="AL81" i="8"/>
  <c r="AL59" i="8"/>
  <c r="AL51" i="8"/>
  <c r="AL43" i="8"/>
  <c r="AL35" i="8"/>
  <c r="AL27" i="8"/>
  <c r="AL83" i="8"/>
  <c r="AL95" i="8"/>
  <c r="AL91" i="8"/>
  <c r="AL68" i="8"/>
  <c r="AY71" i="6"/>
  <c r="AL167" i="8"/>
  <c r="AL94" i="8"/>
  <c r="AL123" i="8"/>
  <c r="AL134" i="8"/>
  <c r="AL154" i="8"/>
  <c r="AL116" i="8"/>
  <c r="AL113" i="8"/>
  <c r="AL58" i="8"/>
  <c r="AL50" i="8"/>
  <c r="AL42" i="8"/>
  <c r="AL34" i="8"/>
  <c r="AL26" i="8"/>
  <c r="AL66" i="8"/>
  <c r="AL96" i="8"/>
  <c r="AL67" i="8"/>
  <c r="AL69" i="8"/>
  <c r="AL23" i="8"/>
  <c r="AL15" i="8"/>
  <c r="AL7" i="8"/>
  <c r="AL101" i="8"/>
  <c r="Y3" i="8"/>
  <c r="AL104" i="8"/>
  <c r="AL160" i="8"/>
  <c r="AL144" i="8"/>
  <c r="AL166" i="8"/>
  <c r="AL124" i="8"/>
  <c r="AL106" i="8"/>
  <c r="AL97" i="8"/>
  <c r="AL138" i="8"/>
  <c r="AL88" i="8"/>
  <c r="AL75" i="8"/>
  <c r="AL111" i="8"/>
  <c r="AL93" i="8"/>
  <c r="AL85" i="8"/>
  <c r="AL77" i="8"/>
  <c r="AL115" i="8"/>
  <c r="AL64" i="8"/>
  <c r="AL131" i="8"/>
  <c r="AL102" i="8"/>
  <c r="AL146" i="8"/>
  <c r="AL125" i="8"/>
  <c r="AL119" i="8"/>
  <c r="AL112" i="8"/>
  <c r="AL150" i="8"/>
  <c r="AL72" i="8"/>
  <c r="AL56" i="8"/>
  <c r="AL48" i="8"/>
  <c r="AL40" i="8"/>
  <c r="AL32" i="8"/>
  <c r="AL130" i="8"/>
  <c r="AL70" i="8"/>
  <c r="AL80" i="8"/>
  <c r="AL71" i="8"/>
  <c r="AL84" i="8"/>
  <c r="AL21" i="8"/>
  <c r="AL13" i="8"/>
  <c r="AL5" i="8"/>
  <c r="X3" i="8"/>
  <c r="AL25" i="8"/>
  <c r="AL100" i="8"/>
  <c r="AL156" i="8"/>
  <c r="AL140" i="8"/>
  <c r="AL128" i="8"/>
  <c r="AL90" i="8"/>
  <c r="AL118" i="8"/>
  <c r="AL55" i="8"/>
  <c r="AL47" i="8"/>
  <c r="AL39" i="8"/>
  <c r="AL31" i="8"/>
  <c r="AL117" i="8"/>
  <c r="AL79" i="8"/>
  <c r="AQ71" i="6"/>
  <c r="Q44" i="2"/>
  <c r="R44" i="2" s="1"/>
  <c r="Q55" i="2"/>
  <c r="R55" i="2" s="1"/>
  <c r="Q25" i="2"/>
  <c r="R25" i="2" s="1"/>
  <c r="Q14" i="2"/>
  <c r="R14" i="2" s="1"/>
  <c r="Q51" i="2"/>
  <c r="R51" i="2" s="1"/>
  <c r="Q53" i="2"/>
  <c r="R53" i="2" s="1"/>
  <c r="Q49" i="2"/>
  <c r="R49" i="2" s="1"/>
  <c r="Q13" i="2"/>
  <c r="R13" i="2" s="1"/>
  <c r="Q57" i="2"/>
  <c r="R57" i="2" s="1"/>
  <c r="Q30" i="2"/>
  <c r="R30" i="2" s="1"/>
  <c r="Q12" i="2"/>
  <c r="R12" i="2" s="1"/>
  <c r="Q19" i="2"/>
  <c r="R19" i="2" s="1"/>
  <c r="Q54" i="2"/>
  <c r="R54" i="2" s="1"/>
  <c r="Q23" i="2"/>
  <c r="R23" i="2" s="1"/>
  <c r="Q15" i="2"/>
  <c r="R15" i="2" s="1"/>
  <c r="Q36" i="2"/>
  <c r="R36" i="2" s="1"/>
  <c r="Q41" i="2"/>
  <c r="R41" i="2" s="1"/>
  <c r="Q40" i="2"/>
  <c r="R40" i="2" s="1"/>
  <c r="AU96" i="6"/>
  <c r="Q17" i="2"/>
  <c r="R17" i="2" s="1"/>
  <c r="Q21" i="2"/>
  <c r="R21" i="2" s="1"/>
  <c r="Q20" i="2"/>
  <c r="R20" i="2" s="1"/>
  <c r="AO101" i="6"/>
  <c r="AS110" i="6"/>
  <c r="AU70" i="6"/>
  <c r="AY91" i="6"/>
  <c r="AS67" i="6"/>
  <c r="AS66" i="6"/>
  <c r="AQ63" i="6"/>
  <c r="AU108" i="6"/>
  <c r="AS79" i="6"/>
  <c r="AY96" i="6"/>
  <c r="AQ75" i="6"/>
  <c r="AQ98" i="6"/>
  <c r="AU68" i="6"/>
  <c r="AW68" i="6"/>
  <c r="AS84" i="6"/>
  <c r="AQ70" i="6"/>
  <c r="AU63" i="6"/>
  <c r="AM78" i="6"/>
  <c r="AQ90" i="6"/>
  <c r="AW69" i="6"/>
  <c r="AY78" i="6"/>
  <c r="AU98" i="6"/>
  <c r="AO104" i="6"/>
  <c r="AW77" i="6"/>
  <c r="AS69" i="6"/>
  <c r="AY77" i="6"/>
  <c r="AS63" i="6"/>
  <c r="AO91" i="6"/>
  <c r="AO89" i="6"/>
  <c r="AY90" i="6"/>
  <c r="AS95" i="6"/>
  <c r="AU69" i="6"/>
  <c r="AM90" i="6"/>
  <c r="AM63" i="6"/>
  <c r="AW93" i="6"/>
  <c r="AY63" i="6"/>
  <c r="AU80" i="6"/>
  <c r="AU88" i="6"/>
  <c r="AM95" i="6"/>
  <c r="AQ86" i="6"/>
  <c r="AO96" i="6"/>
  <c r="AO83" i="6"/>
  <c r="AQ69" i="6"/>
  <c r="AW78" i="6"/>
  <c r="AQ92" i="6"/>
  <c r="AW104" i="6"/>
  <c r="AM72" i="6"/>
  <c r="AW96" i="6"/>
  <c r="AQ102" i="6"/>
  <c r="AW83" i="6"/>
  <c r="AY69" i="6"/>
  <c r="AQ87" i="6"/>
  <c r="AY95" i="6"/>
  <c r="AS108" i="6"/>
  <c r="AS92" i="6"/>
  <c r="AY76" i="6"/>
  <c r="AM98" i="6"/>
  <c r="AS78" i="6"/>
  <c r="AU86" i="6"/>
  <c r="AQ93" i="6"/>
  <c r="AU73" i="6"/>
  <c r="AU67" i="6"/>
  <c r="AQ67" i="6"/>
  <c r="AS71" i="6"/>
  <c r="AY89" i="6"/>
  <c r="AS97" i="6"/>
  <c r="AS73" i="6"/>
  <c r="AS98" i="6"/>
  <c r="AU93" i="6"/>
  <c r="AU97" i="6"/>
  <c r="AY67" i="6"/>
  <c r="AS75" i="6"/>
  <c r="Q27" i="2"/>
  <c r="R27" i="2" s="1"/>
  <c r="AL28" i="7"/>
  <c r="AL44" i="7"/>
  <c r="AL166" i="7"/>
  <c r="AL92" i="7"/>
  <c r="AL118" i="7"/>
  <c r="AL140" i="7"/>
  <c r="AL162" i="7"/>
  <c r="AL18" i="7"/>
  <c r="AL130" i="7"/>
  <c r="AL146" i="7"/>
  <c r="AL11" i="7"/>
  <c r="AL110" i="7"/>
  <c r="AL133" i="7"/>
  <c r="AL27" i="7"/>
  <c r="AL59" i="7"/>
  <c r="AL83" i="7"/>
  <c r="AL115" i="7"/>
  <c r="AL16" i="7"/>
  <c r="AL94" i="7"/>
  <c r="AL142" i="7"/>
  <c r="AL91" i="7"/>
  <c r="AL98" i="7"/>
  <c r="AL123" i="7"/>
  <c r="AL62" i="7"/>
  <c r="AL66" i="7"/>
  <c r="AL22" i="7"/>
  <c r="AL155" i="7"/>
  <c r="AL77" i="7"/>
  <c r="AL33" i="7"/>
  <c r="AL49" i="7"/>
  <c r="AL141" i="7"/>
  <c r="AL70" i="7"/>
  <c r="AL54" i="7"/>
  <c r="AL86" i="7"/>
  <c r="AL116" i="7"/>
  <c r="AL138" i="7"/>
  <c r="AL158" i="7"/>
  <c r="AL42" i="7"/>
  <c r="AL58" i="7"/>
  <c r="AL74" i="7"/>
  <c r="AL90" i="7"/>
  <c r="AL106" i="7"/>
  <c r="AL122" i="7"/>
  <c r="AL154" i="7"/>
  <c r="AL108" i="7"/>
  <c r="AL131" i="7"/>
  <c r="AL35" i="7"/>
  <c r="AL51" i="7"/>
  <c r="AL75" i="7"/>
  <c r="AL99" i="7"/>
  <c r="AL107" i="7"/>
  <c r="AL163" i="7"/>
  <c r="AL24" i="7"/>
  <c r="AL149" i="7"/>
  <c r="AL55" i="7"/>
  <c r="AL100" i="7"/>
  <c r="Y3" i="7"/>
  <c r="AL167" i="7"/>
  <c r="AL165" i="7"/>
  <c r="AL60" i="7"/>
  <c r="AL148" i="7"/>
  <c r="AL143" i="7"/>
  <c r="AL13" i="7"/>
  <c r="AL50" i="7"/>
  <c r="AL102" i="7"/>
  <c r="AL67" i="7"/>
  <c r="AA3" i="7"/>
  <c r="AL34" i="7"/>
  <c r="AL126" i="7"/>
  <c r="AL12" i="7"/>
  <c r="AL43" i="7"/>
  <c r="AL82" i="7"/>
  <c r="AL134" i="7"/>
  <c r="AL156" i="7"/>
  <c r="AL10" i="7"/>
  <c r="AL26" i="7"/>
  <c r="Z3" i="7"/>
  <c r="X3" i="7"/>
  <c r="AL127" i="7"/>
  <c r="AL159" i="7"/>
  <c r="AL20" i="7"/>
  <c r="AL36" i="7"/>
  <c r="AL52" i="7"/>
  <c r="AL68" i="7"/>
  <c r="AL84" i="7"/>
  <c r="AL132" i="7"/>
  <c r="AL164" i="7"/>
  <c r="AL150" i="7"/>
  <c r="AL40" i="7"/>
  <c r="AL117" i="7"/>
  <c r="AL139" i="7"/>
  <c r="AL21" i="7"/>
  <c r="AL29" i="7"/>
  <c r="AL37" i="7"/>
  <c r="AL45" i="7"/>
  <c r="AL53" i="7"/>
  <c r="AL61" i="7"/>
  <c r="AL69" i="7"/>
  <c r="AL85" i="7"/>
  <c r="AL93" i="7"/>
  <c r="AL101" i="7"/>
  <c r="AL125" i="7"/>
  <c r="AL157" i="7"/>
  <c r="AL30" i="7"/>
  <c r="AL78" i="7"/>
  <c r="AL119" i="7"/>
  <c r="AL147" i="7"/>
  <c r="AL6" i="7"/>
  <c r="AL14" i="7"/>
  <c r="AL38" i="7"/>
  <c r="AL46" i="7"/>
  <c r="AL56" i="7"/>
  <c r="AL109" i="7"/>
  <c r="AL7" i="7"/>
  <c r="AL15" i="7"/>
  <c r="AL23" i="7"/>
  <c r="AL31" i="7"/>
  <c r="AL39" i="7"/>
  <c r="AL47" i="7"/>
  <c r="AL63" i="7"/>
  <c r="AL79" i="7"/>
  <c r="AL87" i="7"/>
  <c r="AL95" i="7"/>
  <c r="AL103" i="7"/>
  <c r="AL111" i="7"/>
  <c r="AL135" i="7"/>
  <c r="AL151" i="7"/>
  <c r="AL8" i="7"/>
  <c r="AL32" i="7"/>
  <c r="AL48" i="7"/>
  <c r="AL64" i="7"/>
  <c r="AL72" i="7"/>
  <c r="AL80" i="7"/>
  <c r="AL88" i="7"/>
  <c r="AL96" i="7"/>
  <c r="AL104" i="7"/>
  <c r="AL112" i="7"/>
  <c r="AL120" i="7"/>
  <c r="AL128" i="7"/>
  <c r="AL136" i="7"/>
  <c r="AL144" i="7"/>
  <c r="AL152" i="7"/>
  <c r="AL160" i="7"/>
  <c r="AL9" i="7"/>
  <c r="AL17" i="7"/>
  <c r="AL25" i="7"/>
  <c r="AL41" i="7"/>
  <c r="AL57" i="7"/>
  <c r="AL65" i="7"/>
  <c r="AL73" i="7"/>
  <c r="AL81" i="7"/>
  <c r="AL89" i="7"/>
  <c r="AL97" i="7"/>
  <c r="AL105" i="7"/>
  <c r="AL113" i="7"/>
  <c r="AL121" i="7"/>
  <c r="AL129" i="7"/>
  <c r="AL137" i="7"/>
  <c r="AL145" i="7"/>
  <c r="AL153" i="7"/>
  <c r="AL161" i="7"/>
  <c r="AL5" i="7"/>
  <c r="AL19" i="7"/>
  <c r="AL76" i="7"/>
  <c r="AL124" i="7"/>
  <c r="AL71" i="7"/>
  <c r="AU66" i="6" l="1"/>
  <c r="AU104" i="6"/>
  <c r="AY102" i="6"/>
  <c r="AW87" i="6"/>
  <c r="AS94" i="6"/>
  <c r="AU101" i="6"/>
  <c r="AW74" i="6"/>
  <c r="AY101" i="6"/>
  <c r="AY88" i="6"/>
  <c r="AY87" i="6"/>
  <c r="AW70" i="6"/>
  <c r="AO87" i="6"/>
  <c r="AS87" i="6"/>
  <c r="AS89" i="6"/>
  <c r="AO90" i="6"/>
  <c r="AW106" i="6"/>
  <c r="AS90" i="6"/>
  <c r="AQ108" i="6"/>
  <c r="AU75" i="6"/>
  <c r="AQ104" i="6"/>
  <c r="AO99" i="6"/>
  <c r="AQ64" i="6"/>
  <c r="AM61" i="6"/>
  <c r="AS68" i="6"/>
  <c r="AW100" i="6"/>
  <c r="AS99" i="6"/>
  <c r="AS102" i="6"/>
  <c r="AM65" i="6"/>
  <c r="AS70" i="6"/>
  <c r="AQ94" i="6"/>
  <c r="AU79" i="6"/>
  <c r="AU81" i="6"/>
  <c r="AS62" i="6"/>
  <c r="AY103" i="6"/>
  <c r="AO82" i="6"/>
  <c r="AQ72" i="6"/>
  <c r="AS59" i="6"/>
  <c r="AM62" i="6"/>
  <c r="AQ103" i="6"/>
  <c r="AO74" i="6"/>
  <c r="AU59" i="6"/>
  <c r="AU60" i="6"/>
  <c r="AW103" i="6"/>
  <c r="AM108" i="6"/>
  <c r="AQ84" i="6"/>
  <c r="AY73" i="6"/>
  <c r="AY110" i="6"/>
  <c r="AU91" i="6"/>
  <c r="BA91" i="6" s="1"/>
  <c r="BC91" i="6" s="1"/>
  <c r="AS109" i="6"/>
  <c r="AS81" i="6"/>
  <c r="AS76" i="6"/>
  <c r="AS82" i="6"/>
  <c r="AY66" i="6"/>
  <c r="AM109" i="6"/>
  <c r="Q56" i="2"/>
  <c r="R56" i="2" s="1"/>
  <c r="AM58" i="6"/>
  <c r="AM89" i="6"/>
  <c r="AU82" i="6"/>
  <c r="AY106" i="6"/>
  <c r="AU84" i="6"/>
  <c r="AU109" i="6"/>
  <c r="AU99" i="6"/>
  <c r="AS104" i="6"/>
  <c r="AS72" i="6"/>
  <c r="AS77" i="6"/>
  <c r="AU64" i="6"/>
  <c r="AS91" i="6"/>
  <c r="AQ76" i="6"/>
  <c r="AS61" i="6"/>
  <c r="AY79" i="6"/>
  <c r="Q11" i="2"/>
  <c r="R11" i="2" s="1"/>
  <c r="AY60" i="6"/>
  <c r="AY62" i="6"/>
  <c r="AW73" i="6"/>
  <c r="AW84" i="6"/>
  <c r="AM64" i="6"/>
  <c r="AY99" i="6"/>
  <c r="AY74" i="6"/>
  <c r="AM94" i="6"/>
  <c r="AM104" i="6"/>
  <c r="AW102" i="6"/>
  <c r="AM99" i="6"/>
  <c r="AM84" i="6"/>
  <c r="AQ65" i="6"/>
  <c r="BG41" i="6"/>
  <c r="AY94" i="6"/>
  <c r="AU83" i="6"/>
  <c r="AU89" i="6"/>
  <c r="AQ61" i="6"/>
  <c r="AS107" i="6"/>
  <c r="AM59" i="6"/>
  <c r="AM74" i="6"/>
  <c r="AQ79" i="6"/>
  <c r="AY104" i="6"/>
  <c r="AY97" i="6"/>
  <c r="AM101" i="6"/>
  <c r="AW101" i="6"/>
  <c r="AS101" i="6"/>
  <c r="AW64" i="6"/>
  <c r="AQ83" i="6"/>
  <c r="AO70" i="6"/>
  <c r="BA70" i="6" s="1"/>
  <c r="BC70" i="6" s="1"/>
  <c r="BG30" i="6"/>
  <c r="AM83" i="6"/>
  <c r="AQ107" i="6"/>
  <c r="AU107" i="6"/>
  <c r="Q33" i="2"/>
  <c r="R33" i="2" s="1"/>
  <c r="AW88" i="6"/>
  <c r="AY109" i="6"/>
  <c r="AQ105" i="6"/>
  <c r="AQ59" i="6"/>
  <c r="AY58" i="6"/>
  <c r="AW72" i="6"/>
  <c r="AU62" i="6"/>
  <c r="AW95" i="6"/>
  <c r="AW81" i="6"/>
  <c r="AM102" i="6"/>
  <c r="AO76" i="6"/>
  <c r="AS74" i="6"/>
  <c r="AS105" i="6"/>
  <c r="AM71" i="6"/>
  <c r="AM80" i="6"/>
  <c r="AM106" i="6"/>
  <c r="AW86" i="6"/>
  <c r="AU58" i="6"/>
  <c r="AU105" i="6"/>
  <c r="AM100" i="6"/>
  <c r="AQ99" i="6"/>
  <c r="AY107" i="6"/>
  <c r="BG28" i="6"/>
  <c r="AQ101" i="6"/>
  <c r="AW109" i="6"/>
  <c r="AS88" i="6"/>
  <c r="AQ106" i="6"/>
  <c r="AR16" i="6"/>
  <c r="AO71" i="6" s="1"/>
  <c r="AO106" i="6"/>
  <c r="AU61" i="6"/>
  <c r="AY61" i="6"/>
  <c r="AS60" i="6"/>
  <c r="AW71" i="6"/>
  <c r="BG32" i="6"/>
  <c r="AM91" i="6"/>
  <c r="AM97" i="6"/>
  <c r="AQ58" i="6"/>
  <c r="AM87" i="6"/>
  <c r="Q16" i="2"/>
  <c r="R16" i="2" s="1"/>
  <c r="AR6" i="6"/>
  <c r="BG6" i="6" s="1"/>
  <c r="AY83" i="6"/>
  <c r="AQ11" i="6"/>
  <c r="AO66" i="6" s="1"/>
  <c r="AY80" i="6"/>
  <c r="AY105" i="6"/>
  <c r="Q26" i="2"/>
  <c r="R26" i="2" s="1"/>
  <c r="AQ17" i="6"/>
  <c r="BG17" i="6" s="1"/>
  <c r="AY100" i="6"/>
  <c r="AW62" i="6"/>
  <c r="AQ5" i="6"/>
  <c r="AO60" i="6" s="1"/>
  <c r="AQ29" i="6"/>
  <c r="BG29" i="6" s="1"/>
  <c r="Q42" i="2"/>
  <c r="R42" i="2" s="1"/>
  <c r="AR38" i="6"/>
  <c r="AO93" i="6" s="1"/>
  <c r="BA93" i="6" s="1"/>
  <c r="BC93" i="6" s="1"/>
  <c r="BG27" i="6"/>
  <c r="AW76" i="6"/>
  <c r="BA76" i="6" s="1"/>
  <c r="BC76" i="6" s="1"/>
  <c r="AW58" i="6"/>
  <c r="AY65" i="6"/>
  <c r="AS86" i="6"/>
  <c r="BG34" i="6"/>
  <c r="Q22" i="2"/>
  <c r="R22" i="2" s="1"/>
  <c r="AQ45" i="6"/>
  <c r="AO100" i="6" s="1"/>
  <c r="BA100" i="6" s="1"/>
  <c r="BC100" i="6" s="1"/>
  <c r="AQ8" i="6"/>
  <c r="BG8" i="6" s="1"/>
  <c r="BG9" i="6"/>
  <c r="Q35" i="2"/>
  <c r="R35" i="2" s="1"/>
  <c r="Q28" i="2"/>
  <c r="R28" i="2" s="1"/>
  <c r="AW105" i="6"/>
  <c r="AS80" i="6"/>
  <c r="BG48" i="6"/>
  <c r="AQ3" i="6"/>
  <c r="AO58" i="6" s="1"/>
  <c r="AU100" i="6"/>
  <c r="AY86" i="6"/>
  <c r="AQ62" i="6"/>
  <c r="AM66" i="6"/>
  <c r="AU102" i="6"/>
  <c r="AO88" i="6"/>
  <c r="AW65" i="6"/>
  <c r="AS106" i="6"/>
  <c r="AQ82" i="6"/>
  <c r="BG47" i="6"/>
  <c r="BG51" i="6"/>
  <c r="AU103" i="6"/>
  <c r="BG49" i="6"/>
  <c r="AY85" i="6"/>
  <c r="BA85" i="6" s="1"/>
  <c r="BC85" i="6" s="1"/>
  <c r="Q39" i="2"/>
  <c r="R39" i="2" s="1"/>
  <c r="Q45" i="2"/>
  <c r="R45" i="2" s="1"/>
  <c r="Q47" i="2"/>
  <c r="R47" i="2" s="1"/>
  <c r="BG7" i="6"/>
  <c r="AU74" i="6"/>
  <c r="AO75" i="6"/>
  <c r="BA75" i="6" s="1"/>
  <c r="BC75" i="6" s="1"/>
  <c r="AQ88" i="6"/>
  <c r="Q46" i="2"/>
  <c r="R46" i="2" s="1"/>
  <c r="AY59" i="6"/>
  <c r="Q24" i="2"/>
  <c r="R24" i="2" s="1"/>
  <c r="AS65" i="6"/>
  <c r="AQ109" i="6"/>
  <c r="AS100" i="6"/>
  <c r="AO86" i="6"/>
  <c r="AW107" i="6"/>
  <c r="Q50" i="2"/>
  <c r="R50" i="2" s="1"/>
  <c r="AM107" i="6"/>
  <c r="BG35" i="6"/>
  <c r="Q18" i="2"/>
  <c r="R18" i="2" s="1"/>
  <c r="BG15" i="6"/>
  <c r="Q58" i="2"/>
  <c r="R58" i="2" s="1"/>
  <c r="Q43" i="2"/>
  <c r="R43" i="2" s="1"/>
  <c r="Q60" i="2"/>
  <c r="R60" i="2" s="1"/>
  <c r="Q38" i="2"/>
  <c r="R38" i="2" s="1"/>
  <c r="BG53" i="6"/>
  <c r="AO108" i="6"/>
  <c r="BA108" i="6" s="1"/>
  <c r="BC108" i="6" s="1"/>
  <c r="AO110" i="6"/>
  <c r="BA110" i="6" s="1"/>
  <c r="BC110" i="6" s="1"/>
  <c r="BG55" i="6"/>
  <c r="Q34" i="2"/>
  <c r="R34" i="2" s="1"/>
  <c r="AU106" i="6"/>
  <c r="BG13" i="6"/>
  <c r="AO78" i="6"/>
  <c r="BA78" i="6" s="1"/>
  <c r="BC78" i="6" s="1"/>
  <c r="AO98" i="6"/>
  <c r="BA98" i="6" s="1"/>
  <c r="BC98" i="6" s="1"/>
  <c r="BG43" i="6"/>
  <c r="BG39" i="6"/>
  <c r="AO94" i="6"/>
  <c r="BG12" i="6"/>
  <c r="AO67" i="6"/>
  <c r="BA67" i="6" s="1"/>
  <c r="BC67" i="6" s="1"/>
  <c r="BG18" i="6"/>
  <c r="AO73" i="6"/>
  <c r="AQ96" i="6"/>
  <c r="BA96" i="6" s="1"/>
  <c r="BC96" i="6" s="1"/>
  <c r="AO95" i="6"/>
  <c r="BA95" i="6" s="1"/>
  <c r="BC95" i="6" s="1"/>
  <c r="AO80" i="6"/>
  <c r="AO64" i="6"/>
  <c r="Q48" i="2"/>
  <c r="R48" i="2" s="1"/>
  <c r="AO65" i="6"/>
  <c r="AO69" i="6"/>
  <c r="BA69" i="6" s="1"/>
  <c r="BC69" i="6" s="1"/>
  <c r="Q37" i="2"/>
  <c r="R37" i="2" s="1"/>
  <c r="AO109" i="6"/>
  <c r="AO81" i="6"/>
  <c r="AO97" i="6"/>
  <c r="BA97" i="6" s="1"/>
  <c r="BC97" i="6" s="1"/>
  <c r="AO59" i="6"/>
  <c r="BA59" i="6" s="1"/>
  <c r="BC59" i="6" s="1"/>
  <c r="AO105" i="6"/>
  <c r="AO92" i="6"/>
  <c r="BA92" i="6" s="1"/>
  <c r="BC92" i="6" s="1"/>
  <c r="AO107" i="6"/>
  <c r="BG54" i="6"/>
  <c r="BG52" i="6"/>
  <c r="AO68" i="6"/>
  <c r="BG14" i="6"/>
  <c r="BA90" i="6"/>
  <c r="BC90" i="6" s="1"/>
  <c r="BA77" i="6"/>
  <c r="BC77" i="6" s="1"/>
  <c r="BG22" i="6"/>
  <c r="BG37" i="6"/>
  <c r="BG33" i="6"/>
  <c r="BG19" i="6"/>
  <c r="BG25" i="6"/>
  <c r="BG46" i="6"/>
  <c r="BG36" i="6"/>
  <c r="BG31" i="6"/>
  <c r="BG50" i="6"/>
  <c r="BG4" i="6"/>
  <c r="BG42" i="6"/>
  <c r="BG24" i="6"/>
  <c r="BG20" i="6"/>
  <c r="BG10" i="6"/>
  <c r="BG44" i="6"/>
  <c r="BG23" i="6"/>
  <c r="BG26" i="6"/>
  <c r="BG21" i="6"/>
  <c r="BA68" i="6" l="1"/>
  <c r="BC68" i="6" s="1"/>
  <c r="BA81" i="6"/>
  <c r="BC81" i="6" s="1"/>
  <c r="BA101" i="6"/>
  <c r="BC101" i="6" s="1"/>
  <c r="BA87" i="6"/>
  <c r="BC87" i="6" s="1"/>
  <c r="BA64" i="6"/>
  <c r="BC64" i="6" s="1"/>
  <c r="BA82" i="6"/>
  <c r="BC82" i="6" s="1"/>
  <c r="BA104" i="6"/>
  <c r="BC104" i="6" s="1"/>
  <c r="BA66" i="6"/>
  <c r="BC66" i="6" s="1"/>
  <c r="BA73" i="6"/>
  <c r="BC73" i="6" s="1"/>
  <c r="BA60" i="6"/>
  <c r="BC60" i="6" s="1"/>
  <c r="BA103" i="6"/>
  <c r="BC103" i="6" s="1"/>
  <c r="BA94" i="6"/>
  <c r="BC94" i="6" s="1"/>
  <c r="BA79" i="6"/>
  <c r="BC79" i="6" s="1"/>
  <c r="BA83" i="6"/>
  <c r="BC83" i="6" s="1"/>
  <c r="BA74" i="6"/>
  <c r="BC74" i="6" s="1"/>
  <c r="BA89" i="6"/>
  <c r="BC89" i="6" s="1"/>
  <c r="BA102" i="6"/>
  <c r="BC102" i="6" s="1"/>
  <c r="BA99" i="6"/>
  <c r="BC99" i="6" s="1"/>
  <c r="BA80" i="6"/>
  <c r="BC80" i="6" s="1"/>
  <c r="BA71" i="6"/>
  <c r="BC71" i="6" s="1"/>
  <c r="BA65" i="6"/>
  <c r="BC65" i="6" s="1"/>
  <c r="BA105" i="6"/>
  <c r="BC105" i="6" s="1"/>
  <c r="BA86" i="6"/>
  <c r="BC86" i="6" s="1"/>
  <c r="BG11" i="6"/>
  <c r="BA109" i="6"/>
  <c r="BC109" i="6" s="1"/>
  <c r="AO84" i="6"/>
  <c r="BA84" i="6" s="1"/>
  <c r="BC84" i="6" s="1"/>
  <c r="AO63" i="6"/>
  <c r="BA63" i="6" s="1"/>
  <c r="BC63" i="6" s="1"/>
  <c r="AO72" i="6"/>
  <c r="BA72" i="6" s="1"/>
  <c r="BC72" i="6" s="1"/>
  <c r="BA88" i="6"/>
  <c r="BC88" i="6" s="1"/>
  <c r="BA106" i="6"/>
  <c r="BC106" i="6" s="1"/>
  <c r="AO62" i="6"/>
  <c r="BA62" i="6" s="1"/>
  <c r="BC62" i="6" s="1"/>
  <c r="BG5" i="6"/>
  <c r="BA107" i="6"/>
  <c r="BC107" i="6" s="1"/>
  <c r="AO61" i="6"/>
  <c r="BA61" i="6" s="1"/>
  <c r="BC61" i="6" s="1"/>
  <c r="BG38" i="6"/>
  <c r="BG45" i="6"/>
  <c r="BG40" i="6"/>
  <c r="BG16" i="6"/>
  <c r="BG3" i="6"/>
  <c r="A2" i="6" s="1" a="1"/>
  <c r="BG58" i="6"/>
  <c r="BQ58" i="6" s="1"/>
  <c r="BU58" i="6" l="1"/>
  <c r="BA58" i="6"/>
  <c r="X3" i="6"/>
  <c r="X4" i="6"/>
  <c r="X12" i="6"/>
  <c r="X20" i="6"/>
  <c r="X28" i="6"/>
  <c r="X36" i="6"/>
  <c r="X44" i="6"/>
  <c r="X52" i="6"/>
  <c r="X5" i="6"/>
  <c r="X13" i="6"/>
  <c r="X21" i="6"/>
  <c r="X29" i="6"/>
  <c r="X37" i="6"/>
  <c r="X45" i="6"/>
  <c r="X53" i="6"/>
  <c r="X43" i="6"/>
  <c r="X6" i="6"/>
  <c r="X14" i="6"/>
  <c r="X22" i="6"/>
  <c r="X30" i="6"/>
  <c r="X38" i="6"/>
  <c r="X46" i="6"/>
  <c r="X54" i="6"/>
  <c r="X51" i="6"/>
  <c r="X7" i="6"/>
  <c r="X15" i="6"/>
  <c r="X23" i="6"/>
  <c r="X31" i="6"/>
  <c r="X39" i="6"/>
  <c r="X47" i="6"/>
  <c r="X55" i="6"/>
  <c r="X27" i="6"/>
  <c r="X8" i="6"/>
  <c r="X16" i="6"/>
  <c r="X24" i="6"/>
  <c r="X32" i="6"/>
  <c r="X40" i="6"/>
  <c r="X48" i="6"/>
  <c r="X11" i="6"/>
  <c r="X9" i="6"/>
  <c r="X17" i="6"/>
  <c r="X25" i="6"/>
  <c r="X33" i="6"/>
  <c r="X41" i="6"/>
  <c r="X49" i="6"/>
  <c r="X35" i="6"/>
  <c r="X10" i="6"/>
  <c r="X18" i="6"/>
  <c r="X26" i="6"/>
  <c r="X34" i="6"/>
  <c r="X42" i="6"/>
  <c r="X50" i="6"/>
  <c r="X19" i="6"/>
  <c r="A2" i="6"/>
  <c r="BC58" i="6" l="1"/>
  <c r="A59" i="6" s="1" a="1"/>
  <c r="AK112" i="6" l="1" a="1"/>
  <c r="AK112" i="6" s="1"/>
  <c r="A59" i="6"/>
  <c r="T61" i="6"/>
  <c r="T70" i="6"/>
  <c r="T79" i="6"/>
  <c r="T88" i="6"/>
  <c r="T81" i="6"/>
  <c r="T82" i="6"/>
  <c r="T91" i="6"/>
  <c r="T96" i="6"/>
  <c r="T90" i="6"/>
  <c r="T108" i="6"/>
  <c r="T72" i="6"/>
  <c r="T71" i="6"/>
  <c r="T83" i="6"/>
  <c r="T69" i="6"/>
  <c r="T78" i="6"/>
  <c r="T87" i="6"/>
  <c r="T89" i="6"/>
  <c r="T99" i="6"/>
  <c r="T67" i="6"/>
  <c r="T66" i="6"/>
  <c r="T80" i="6"/>
  <c r="T77" i="6"/>
  <c r="T86" i="6"/>
  <c r="T95" i="6"/>
  <c r="T104" i="6"/>
  <c r="T97" i="6"/>
  <c r="T98" i="6"/>
  <c r="T107" i="6"/>
  <c r="T106" i="6"/>
  <c r="T92" i="6"/>
  <c r="T110" i="6"/>
  <c r="T85" i="6"/>
  <c r="T94" i="6"/>
  <c r="T103" i="6"/>
  <c r="T112" i="6"/>
  <c r="T105" i="6"/>
  <c r="T84" i="6"/>
  <c r="T100" i="6"/>
  <c r="T65" i="6"/>
  <c r="T93" i="6"/>
  <c r="T102" i="6"/>
  <c r="T111" i="6"/>
  <c r="T68" i="6"/>
  <c r="T76" i="6"/>
  <c r="T60" i="6"/>
  <c r="T109" i="6"/>
  <c r="T62" i="6"/>
  <c r="T74" i="6"/>
  <c r="T101" i="6"/>
  <c r="T64" i="6"/>
  <c r="T63" i="6"/>
  <c r="T75" i="6"/>
  <c r="T7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<sst xmlns="http://schemas.openxmlformats.org/spreadsheetml/2006/main" count="811" uniqueCount="374">
  <si>
    <t>Position</t>
  </si>
  <si>
    <t>Racing</t>
  </si>
  <si>
    <t>Driver</t>
  </si>
  <si>
    <t>R1A</t>
  </si>
  <si>
    <t>R1B</t>
  </si>
  <si>
    <t>R2A</t>
  </si>
  <si>
    <t>R2B</t>
  </si>
  <si>
    <t>R3A</t>
  </si>
  <si>
    <t>R3B</t>
  </si>
  <si>
    <t>R4A</t>
  </si>
  <si>
    <t>R4B</t>
  </si>
  <si>
    <t>R5A</t>
  </si>
  <si>
    <t>R5B</t>
  </si>
  <si>
    <t>R6A</t>
  </si>
  <si>
    <t>R6B</t>
  </si>
  <si>
    <t>R7A</t>
  </si>
  <si>
    <t>R7B</t>
  </si>
  <si>
    <t>Salford Racing</t>
  </si>
  <si>
    <t>37A-POLYU-LAM</t>
  </si>
  <si>
    <t>48A-UPRAF-DZIUBA</t>
  </si>
  <si>
    <t>50A-LJMU-MELLIAR-SMITH</t>
  </si>
  <si>
    <t>35A-UCD-GARRETT</t>
  </si>
  <si>
    <t>41A-RBRT-CHENG</t>
  </si>
  <si>
    <t>38C-EXET-PRITCHARD</t>
  </si>
  <si>
    <t>10C-ION-PIHL</t>
  </si>
  <si>
    <t>ION Racing</t>
  </si>
  <si>
    <t>9A-VIT-LOPEZ</t>
  </si>
  <si>
    <t>51A-QMFS-ALOJ</t>
  </si>
  <si>
    <t>14F-TAU-SCOTLAND</t>
  </si>
  <si>
    <t>24C-UPRE-BENNETT-SANTAMARIA</t>
  </si>
  <si>
    <t>12B-KING-WILSON-WILLIAMS</t>
  </si>
  <si>
    <t>16B-MAN-WILKINSON</t>
  </si>
  <si>
    <t>50C-LJMU-SCHAPENDONK</t>
  </si>
  <si>
    <t>36B-MTU-O'SHEA</t>
  </si>
  <si>
    <t>21A-STAF-YOUDALE</t>
  </si>
  <si>
    <t>43A-BATH-DOORGEEST</t>
  </si>
  <si>
    <t>35B-UCD-ZIELINSKI</t>
  </si>
  <si>
    <t>27C-HERTS-ULATE</t>
  </si>
  <si>
    <t>23A-HULLB-ZALESKI</t>
  </si>
  <si>
    <t>14B-TAU-ELDON</t>
  </si>
  <si>
    <t>Total</t>
  </si>
  <si>
    <t>43C-BATH-KHAN</t>
  </si>
  <si>
    <t>11B-CAMA-ZALA</t>
  </si>
  <si>
    <t>15A-LASS-TAGESTANIAN</t>
  </si>
  <si>
    <t>18B-FSTN-DEMPSTER</t>
  </si>
  <si>
    <t>24A-UPRE-USHER</t>
  </si>
  <si>
    <t>24B-UPRE-DARVILL</t>
  </si>
  <si>
    <t>40A-VIGO-COSTAS</t>
  </si>
  <si>
    <t>40B-VIGO-VEIRO</t>
  </si>
  <si>
    <t>43B-BATH-SLIJEPCEVIC</t>
  </si>
  <si>
    <t>48B-UPRAF-SHAH</t>
  </si>
  <si>
    <t>50B-LJMU-CHAMBERS</t>
  </si>
  <si>
    <t>52A-HKU-AU-YEUNG</t>
  </si>
  <si>
    <t>52E-HKU-WONG</t>
  </si>
  <si>
    <t>53F-PROT-PUCHYRSKI</t>
  </si>
  <si>
    <t>No.</t>
  </si>
  <si>
    <t>UGRA</t>
  </si>
  <si>
    <t>1A-UGRA-MCAULEY</t>
  </si>
  <si>
    <t>SUFST</t>
  </si>
  <si>
    <t>STON</t>
  </si>
  <si>
    <t>HERT</t>
  </si>
  <si>
    <t>HULLA</t>
  </si>
  <si>
    <t>NCME</t>
  </si>
  <si>
    <t>UWTSD</t>
  </si>
  <si>
    <t>SALF</t>
  </si>
  <si>
    <t>USM</t>
  </si>
  <si>
    <t>CARD</t>
  </si>
  <si>
    <t>VIT</t>
  </si>
  <si>
    <t>ION</t>
  </si>
  <si>
    <t>10A-ION-NYGARD</t>
  </si>
  <si>
    <t>10B-ION-HAUGLAND-LIE</t>
  </si>
  <si>
    <t>CAMA</t>
  </si>
  <si>
    <t>11A-CAMA-SHOAIB</t>
  </si>
  <si>
    <t>11C-CAMA-GORDON</t>
  </si>
  <si>
    <t>KING</t>
  </si>
  <si>
    <t>12C-KING-LEOCATA</t>
  </si>
  <si>
    <t>OUSR</t>
  </si>
  <si>
    <t>13A-OUSR-TONELLI</t>
  </si>
  <si>
    <t>13B-OUSR-MCCAFFREY</t>
  </si>
  <si>
    <t>TAU</t>
  </si>
  <si>
    <t>14A-TAU-HEYMANS</t>
  </si>
  <si>
    <t>14C-TAU-COMBER</t>
  </si>
  <si>
    <t>14D-TAU-MARPLES</t>
  </si>
  <si>
    <t>14E-TAU-LACK</t>
  </si>
  <si>
    <t>LASS</t>
  </si>
  <si>
    <t>15B-LASS-PARLAN</t>
  </si>
  <si>
    <t>15C-LASS-SALIBA</t>
  </si>
  <si>
    <t>15D-LASS-ALI</t>
  </si>
  <si>
    <t>15E-LASS-PANDHER</t>
  </si>
  <si>
    <t>15F-LASS-KARACA</t>
  </si>
  <si>
    <t>MAN</t>
  </si>
  <si>
    <t>16A-MAN-ROZEE</t>
  </si>
  <si>
    <t>16C-MAN-COTTON</t>
  </si>
  <si>
    <t>UCL</t>
  </si>
  <si>
    <t>17A-UCL-RAMMAL</t>
  </si>
  <si>
    <t>17B-UCL-HARRAR</t>
  </si>
  <si>
    <t>17C-UCL-TOSHOV</t>
  </si>
  <si>
    <t>17D-UCL-LIU</t>
  </si>
  <si>
    <t>17E-UCL-SHAH</t>
  </si>
  <si>
    <t>FSTN</t>
  </si>
  <si>
    <t>18C-FSTN-BAILEY</t>
  </si>
  <si>
    <t>18D-FSTN-LIDDELL</t>
  </si>
  <si>
    <t>YORKA</t>
  </si>
  <si>
    <t>19A-YORKA-GUNN</t>
  </si>
  <si>
    <t>19B-YORKA-SHAMSUL</t>
  </si>
  <si>
    <t>19C-YORKA-COMRIE</t>
  </si>
  <si>
    <t>19D-YORKA-HOLLYHEAD</t>
  </si>
  <si>
    <t>19E-YORKA-CARTER</t>
  </si>
  <si>
    <t>19F-YORKA-WILLIAMS</t>
  </si>
  <si>
    <t>SHU</t>
  </si>
  <si>
    <t>20A-SHU-ELLERSHAW</t>
  </si>
  <si>
    <t>20B-SHU-DEUGO</t>
  </si>
  <si>
    <t>20C-SHU-UPTON</t>
  </si>
  <si>
    <t>20D-SHU-BLASIAK</t>
  </si>
  <si>
    <t>20E-SHU-HARDAKER</t>
  </si>
  <si>
    <t>STAF</t>
  </si>
  <si>
    <t>21B-STAF-BURDEN</t>
  </si>
  <si>
    <t>21C-STAF-BERGEN</t>
  </si>
  <si>
    <t>HWRacing</t>
  </si>
  <si>
    <t>HW</t>
  </si>
  <si>
    <t>22A-HW-MANIKANDAN</t>
  </si>
  <si>
    <t>22C-HW-APPALSWAMY</t>
  </si>
  <si>
    <t>HULLB</t>
  </si>
  <si>
    <t>23B-HULLB-BIRDSALL</t>
  </si>
  <si>
    <t>23C-HULLB-SERWATKA</t>
  </si>
  <si>
    <t>23D-HULLB-FISHER</t>
  </si>
  <si>
    <t>23E-HULLB-JOHNSON</t>
  </si>
  <si>
    <t>23F-HULLB-HOWARD</t>
  </si>
  <si>
    <t>UPRE</t>
  </si>
  <si>
    <t>PSU</t>
  </si>
  <si>
    <t>25A-PSU-JANSRITONG</t>
  </si>
  <si>
    <t>25B-PSU-RAKSAPON</t>
  </si>
  <si>
    <t>25C-PSU-SUWANLA-ONG</t>
  </si>
  <si>
    <t>CAMB</t>
  </si>
  <si>
    <t>26A-CAMB-GASKELL</t>
  </si>
  <si>
    <t>26B-CAMB-KASETA</t>
  </si>
  <si>
    <t>HERTS</t>
  </si>
  <si>
    <t>27A-HERTS-ORLEY</t>
  </si>
  <si>
    <t>27B-HERTS-HOWES</t>
  </si>
  <si>
    <t>27D-HERTS-MCCLUMPHA</t>
  </si>
  <si>
    <t>27E-HERTS-GACKENBACH</t>
  </si>
  <si>
    <t>27F-HERTS-DENT</t>
  </si>
  <si>
    <t>QBEL</t>
  </si>
  <si>
    <t>28A-QBEL-KEOWN</t>
  </si>
  <si>
    <t>28B-QBEL-BURNS</t>
  </si>
  <si>
    <t>WAR</t>
  </si>
  <si>
    <t>29A-WAR-STAMMERS</t>
  </si>
  <si>
    <t>29B-WAR-BIDDLES</t>
  </si>
  <si>
    <t>29C-WAR-CONRAN</t>
  </si>
  <si>
    <t>29D-WAR-JOHAL</t>
  </si>
  <si>
    <t>29E-WAR-ACERO</t>
  </si>
  <si>
    <t>29F-WAR-SMITH</t>
  </si>
  <si>
    <t>SBANK</t>
  </si>
  <si>
    <t>30A-SBANK-SHARPE</t>
  </si>
  <si>
    <t>30B-SBANK-FERRO</t>
  </si>
  <si>
    <t>30C-SBANK-PERRY</t>
  </si>
  <si>
    <t>UBR</t>
  </si>
  <si>
    <t>31A-UBR-WU</t>
  </si>
  <si>
    <t>31B-UBR-WONG</t>
  </si>
  <si>
    <t>31C-UBR-ASARE</t>
  </si>
  <si>
    <t>31D-UBR-WANG</t>
  </si>
  <si>
    <t>31E-UBR-LEE</t>
  </si>
  <si>
    <t>ULM</t>
  </si>
  <si>
    <t>LIV</t>
  </si>
  <si>
    <t>32A-LIV-TUNSTALL</t>
  </si>
  <si>
    <t>32B-LIV-DEMUNI</t>
  </si>
  <si>
    <t>32C-LIV-BUTLER</t>
  </si>
  <si>
    <t>IPPRT</t>
  </si>
  <si>
    <t>33A-IPPRT-QUENIAT</t>
  </si>
  <si>
    <t>33B-IPPRT-BONNEAU</t>
  </si>
  <si>
    <t>YORKB</t>
  </si>
  <si>
    <t>34A-YORKB-NEATH</t>
  </si>
  <si>
    <t>34C-YORKB-ALWIS</t>
  </si>
  <si>
    <t>34D-YORKB-SHEARD</t>
  </si>
  <si>
    <t>UCD</t>
  </si>
  <si>
    <t>MTU</t>
  </si>
  <si>
    <t>36A-MTU-SIBANYONI</t>
  </si>
  <si>
    <t>36C-MTU-CLOGAN</t>
  </si>
  <si>
    <t>POLYU</t>
  </si>
  <si>
    <t>37B-POLYU-LIU</t>
  </si>
  <si>
    <t>37C-POLYU-WONG</t>
  </si>
  <si>
    <t>37D-POLYU-WONG</t>
  </si>
  <si>
    <t>37E-POLYU-LYU</t>
  </si>
  <si>
    <t>EXET</t>
  </si>
  <si>
    <t>38A-EXET-MELLOR</t>
  </si>
  <si>
    <t>38B-EXET-ELLIOT</t>
  </si>
  <si>
    <t>38D-EXET-ALLEN</t>
  </si>
  <si>
    <t>CANT</t>
  </si>
  <si>
    <t>39A-CANT-NAGASE</t>
  </si>
  <si>
    <t>39B-CANT-LANGFORD</t>
  </si>
  <si>
    <t>VIGO</t>
  </si>
  <si>
    <t>RBRT</t>
  </si>
  <si>
    <t>41B-RBRT-LAU</t>
  </si>
  <si>
    <t>41C-RBRT-WONG</t>
  </si>
  <si>
    <t>DMU</t>
  </si>
  <si>
    <t>42A-DMU-ABEYSEKERA</t>
  </si>
  <si>
    <t>42B-DMU-FRANT</t>
  </si>
  <si>
    <t>42C-DMU-MCDAVVITT</t>
  </si>
  <si>
    <t>42D-DMU-HATWELL</t>
  </si>
  <si>
    <t>42E-DMU-LETARD</t>
  </si>
  <si>
    <t>BATH</t>
  </si>
  <si>
    <t>43D-BATH-ROBERTSON</t>
  </si>
  <si>
    <t>43E-BATH-ESPANHA</t>
  </si>
  <si>
    <t>43F-BATH-JORGE</t>
  </si>
  <si>
    <t>NTU</t>
  </si>
  <si>
    <t>44A-NTU-RUSSEL-THOMPSON</t>
  </si>
  <si>
    <t>44B-NTU-KUHLMANN</t>
  </si>
  <si>
    <t>44C-NTU-HEARD</t>
  </si>
  <si>
    <t>UGRB</t>
  </si>
  <si>
    <t>45A-UGRB-HONG</t>
  </si>
  <si>
    <t>45B-UGRB-BLAIR</t>
  </si>
  <si>
    <t>45C-UGRB-FOSKETT</t>
  </si>
  <si>
    <t>ZIPS</t>
  </si>
  <si>
    <t>46A-ZIPS-LAUGHERY</t>
  </si>
  <si>
    <t>46B-ZIPS-HOFFMAN</t>
  </si>
  <si>
    <t>46C-ZIPS-LE</t>
  </si>
  <si>
    <t>IUT</t>
  </si>
  <si>
    <t>47B-IUT-EVAN</t>
  </si>
  <si>
    <t>47C-IUT-AMIN</t>
  </si>
  <si>
    <t>47D-IUT-ADMED-RAHIB</t>
  </si>
  <si>
    <t>UPRAF</t>
  </si>
  <si>
    <t>48C-UPRAF-HARRIS</t>
  </si>
  <si>
    <t>48D-UPRAF-DOWN</t>
  </si>
  <si>
    <t>48E-UPRAF-HOLMES</t>
  </si>
  <si>
    <t>SURT</t>
  </si>
  <si>
    <t>49A-SURT-TREVELYAN-CLARK</t>
  </si>
  <si>
    <t>49B-SURT-PATRICK</t>
  </si>
  <si>
    <t>49C-SURT-ATHWAL</t>
  </si>
  <si>
    <t>49D-SURT-CONIBEER</t>
  </si>
  <si>
    <t>49E-SURT-GALE</t>
  </si>
  <si>
    <t>49F-SURT-DE-SA</t>
  </si>
  <si>
    <t>49G-SURT-MULEY</t>
  </si>
  <si>
    <t>LJMU</t>
  </si>
  <si>
    <t>50D-LJMU-ORME</t>
  </si>
  <si>
    <t>50E-LJMU-MATHIESON</t>
  </si>
  <si>
    <t>QMFS</t>
  </si>
  <si>
    <t>51B-QMFS-GRAY</t>
  </si>
  <si>
    <t>51C-QMFS-SERT</t>
  </si>
  <si>
    <t>51D-QMFS-NEATH</t>
  </si>
  <si>
    <t>51E-QMFS-TOKAS</t>
  </si>
  <si>
    <t>51F-QMFS-VENETHETHAN</t>
  </si>
  <si>
    <t>HKU</t>
  </si>
  <si>
    <t>52B-HKU-KA</t>
  </si>
  <si>
    <t>52C-HKU-ZHONG</t>
  </si>
  <si>
    <t>52D-HKU-LI</t>
  </si>
  <si>
    <t>52F-HKU-KAM</t>
  </si>
  <si>
    <t>PROT</t>
  </si>
  <si>
    <t>53A-PROT-KOCON</t>
  </si>
  <si>
    <t>53B-PROT-KORDYS</t>
  </si>
  <si>
    <t>53C-PROT-MACIASZCZYK</t>
  </si>
  <si>
    <t>53D-PROT-CZAPP</t>
  </si>
  <si>
    <t>53E-PROT-LETKIEWICZ</t>
  </si>
  <si>
    <t>53G-PROT-WOZNIAK</t>
  </si>
  <si>
    <t>53H-PROT-PISZCZEK</t>
  </si>
  <si>
    <t>Team Name</t>
  </si>
  <si>
    <t>UG Racing</t>
  </si>
  <si>
    <t>NCME Racing</t>
  </si>
  <si>
    <t>UWTSD Sim Racing Team</t>
  </si>
  <si>
    <t>Cardiff Racing</t>
  </si>
  <si>
    <t>Fuosr mofu Alala Svtau)dent Vitoria</t>
  </si>
  <si>
    <t>Full Blue Racing</t>
  </si>
  <si>
    <t>Kingston Racing</t>
  </si>
  <si>
    <t>OUSR - Oxford University Sim Racing</t>
  </si>
  <si>
    <t>Team Aberdeen University (TAU)</t>
  </si>
  <si>
    <t>Lassonde Motorsports</t>
  </si>
  <si>
    <t>Manchester Stinger Motorsports</t>
  </si>
  <si>
    <t>UCL Formula Student</t>
  </si>
  <si>
    <t>Formula Student Team Napier</t>
  </si>
  <si>
    <t>Jorvik Racing</t>
  </si>
  <si>
    <t>SHU Racing</t>
  </si>
  <si>
    <t>Staffordshire Uni Racing</t>
  </si>
  <si>
    <t>HERT B</t>
  </si>
  <si>
    <t>UPRacing Electric</t>
  </si>
  <si>
    <t>Lookprabida Formula Student</t>
  </si>
  <si>
    <t>Half Blue Racing</t>
  </si>
  <si>
    <t>UH Racing</t>
  </si>
  <si>
    <t>Queen's Formula Racing</t>
  </si>
  <si>
    <t>Warwick Racing</t>
  </si>
  <si>
    <t>South Bank Racing</t>
  </si>
  <si>
    <t>UB Racing</t>
  </si>
  <si>
    <t>IP Paris Racing Team</t>
  </si>
  <si>
    <t>Jorvik Racing B</t>
  </si>
  <si>
    <t>UCD Formula Student</t>
  </si>
  <si>
    <t>MTU Formula Student</t>
  </si>
  <si>
    <t>PolyU E-Formula Racing Team</t>
  </si>
  <si>
    <t>XRacing Exeter</t>
  </si>
  <si>
    <t>UC Motorsport</t>
  </si>
  <si>
    <t>UVigo Motorsport</t>
  </si>
  <si>
    <t>oRgeyd Bird Racing</t>
  </si>
  <si>
    <t>DMU Racing</t>
  </si>
  <si>
    <t>Team Bath Racing Electric</t>
  </si>
  <si>
    <t>NTU Racing</t>
  </si>
  <si>
    <t>UG Racing B</t>
  </si>
  <si>
    <t>Zips Racing Electric</t>
  </si>
  <si>
    <t>Formula IUT</t>
  </si>
  <si>
    <t>UPRacing Alternative Fuel</t>
  </si>
  <si>
    <t>Team SURTES</t>
  </si>
  <si>
    <t>LJMU e-Racing</t>
  </si>
  <si>
    <t>Queen Mary Formula Student</t>
  </si>
  <si>
    <t>HKU Racing</t>
  </si>
  <si>
    <t>Proton Dynamic</t>
  </si>
  <si>
    <t>Abrv</t>
  </si>
  <si>
    <t>18A-FSTN-Oâ€™DONNELL</t>
  </si>
  <si>
    <t>01A-UGRA-MCAULEY</t>
  </si>
  <si>
    <t>01C-UGRA-KHAN</t>
  </si>
  <si>
    <t>01D-UGRA-GINTER</t>
  </si>
  <si>
    <t>02A-STON-BHURJI</t>
  </si>
  <si>
    <t>02B-STON-MAWANDA</t>
  </si>
  <si>
    <t>02C-STON-WHITTAKER-CAMPIGOTTO</t>
  </si>
  <si>
    <t>03A-HULLA-DAVISON</t>
  </si>
  <si>
    <t>03B-HULLA-PHILIP</t>
  </si>
  <si>
    <t>04B-NCME-KELL</t>
  </si>
  <si>
    <t>04C-NCME-CAMPBELL</t>
  </si>
  <si>
    <t>05A-UWTSD-GREENHILL-UPWARD</t>
  </si>
  <si>
    <t>05E-UWTSD-GRAY</t>
  </si>
  <si>
    <t>06A-SALF-WHEATER</t>
  </si>
  <si>
    <t>08A-CARD-FARMER</t>
  </si>
  <si>
    <t>08B-CARD-KITCHEN</t>
  </si>
  <si>
    <t>09D-VIT-MEDIAVILLA</t>
  </si>
  <si>
    <t>12A-KING-WILLIAMS</t>
  </si>
  <si>
    <t>Top</t>
  </si>
  <si>
    <t>Mid</t>
  </si>
  <si>
    <t>Bot</t>
  </si>
  <si>
    <t>Total Points</t>
  </si>
  <si>
    <t>TOTAL</t>
  </si>
  <si>
    <t>Pole Position</t>
  </si>
  <si>
    <t>Fastest Lap</t>
  </si>
  <si>
    <t>Highest Climber</t>
  </si>
  <si>
    <t>01B-UGRA-COHEN</t>
  </si>
  <si>
    <t>03C-HULLA-LE-MEUR</t>
  </si>
  <si>
    <t>03D-HULLA-ZAKI</t>
  </si>
  <si>
    <t>04A-NCME-LONDON</t>
  </si>
  <si>
    <t>04D-NCME-WATSON</t>
  </si>
  <si>
    <t>05B-UWTSD-CHERRINGTON</t>
  </si>
  <si>
    <t>05C-UWTSD-GRIFFITHS</t>
  </si>
  <si>
    <t>05D-UWTSD-MORGAN</t>
  </si>
  <si>
    <t>05F-UWTSD-WILLIAMS</t>
  </si>
  <si>
    <t>06B-SALF-ARMSTRONG</t>
  </si>
  <si>
    <t>07A-USM-KNOWLES</t>
  </si>
  <si>
    <t>07B-USM-SMITH</t>
  </si>
  <si>
    <t>07C-USM-ROBERTSON</t>
  </si>
  <si>
    <t>07D-USM-MACFARLANE</t>
  </si>
  <si>
    <t>08C-CARD-MCNINCH</t>
  </si>
  <si>
    <t>08D-CARD-BELL</t>
  </si>
  <si>
    <t>09A-VIT-LOPEZ</t>
  </si>
  <si>
    <t>09B-VIT-GARAI</t>
  </si>
  <si>
    <t>09C-VIT-BAYO</t>
  </si>
  <si>
    <t>09E-VIT-CARRERA</t>
  </si>
  <si>
    <t>09F-VIT-MASSO</t>
  </si>
  <si>
    <t>R1</t>
  </si>
  <si>
    <t>R2</t>
  </si>
  <si>
    <t>R3</t>
  </si>
  <si>
    <t>EC1</t>
  </si>
  <si>
    <t>EC2</t>
  </si>
  <si>
    <t>EC3</t>
  </si>
  <si>
    <t>EC4</t>
  </si>
  <si>
    <t>EC5</t>
  </si>
  <si>
    <t>Real</t>
  </si>
  <si>
    <t>R4</t>
  </si>
  <si>
    <t>R5</t>
  </si>
  <si>
    <t>R6</t>
  </si>
  <si>
    <t>R7</t>
  </si>
  <si>
    <t>TOTAL POINTS</t>
  </si>
  <si>
    <t>ROUND1</t>
  </si>
  <si>
    <t>ROUND2</t>
  </si>
  <si>
    <t>ROUND3</t>
  </si>
  <si>
    <t>ROUND4</t>
  </si>
  <si>
    <t>ROUND5</t>
  </si>
  <si>
    <t>ROUND6</t>
  </si>
  <si>
    <t>ROUND7</t>
  </si>
  <si>
    <t>Avg</t>
  </si>
  <si>
    <t>20A-SHU-ELLARSHAW</t>
  </si>
  <si>
    <t>42C-DMU-MCDAVITT</t>
  </si>
  <si>
    <t>18A-FSTN-O’DONNELL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</si>
</sst>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/>
    <xf numFmtId="0" fontId="0" fillId="0" borderId="6" xfId="0" applyFill="1" applyBorder="1"/>
    <xf numFmtId="0" fontId="0" fillId="0" borderId="13" xfId="0" applyBorder="1"/>
    <xf numFmtId="0" fontId="3" fillId="0" borderId="0" xfId="0" applyFont="1"/>
    <xf numFmtId="0" fontId="0" fillId="0" borderId="0" xfId="0" applyFont="1"/>
    <xf numFmtId="164" fontId="0" fillId="0" borderId="0" xfId="0" applyNumberFormat="1"/>
    <xf numFmtId="0" fontId="0" fillId="2" borderId="0" xfId="0" applyFill="1"/>
    <xf numFmtId="0" fontId="4" fillId="0" borderId="14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color theme="0"/>
      </font>
      <fill>
        <patternFill>
          <bgColor rgb="FFD40AE4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D40AE4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51506</xdr:colOff>
      <xdr:row>12</xdr:row>
      <xdr:rowOff>104775</xdr:rowOff>
    </xdr:from>
    <xdr:to>
      <xdr:col>36</xdr:col>
      <xdr:colOff>104775</xdr:colOff>
      <xdr:row>29</xdr:row>
      <xdr:rowOff>53825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72B399-11C2-6CC0-951E-3344A2C9E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25156" y="2400300"/>
          <a:ext cx="6149269" cy="318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571499</xdr:colOff>
      <xdr:row>29</xdr:row>
      <xdr:rowOff>152662</xdr:rowOff>
    </xdr:from>
    <xdr:to>
      <xdr:col>36</xdr:col>
      <xdr:colOff>1095374</xdr:colOff>
      <xdr:row>49</xdr:row>
      <xdr:rowOff>123824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C0C694-C5DC-9550-A6E6-0D849B1E9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35549" y="5686687"/>
          <a:ext cx="7229475" cy="3781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4D4A-8FFC-4BB0-9BA7-31DE328FF529}">
  <dimension ref="B5:W222"/>
  <sheetViews>
    <sheetView topLeftCell="A169" workbookViewId="0">
      <selection activeCell="D219" sqref="D219"/>
    </sheetView>
  </sheetViews>
  <sheetFormatPr defaultRowHeight="15" x14ac:dyDescent="0.25"/>
  <cols>
    <col min="2" max="2" width="34.140625" customWidth="1"/>
    <col min="23" max="23" width="7.7109375" customWidth="1"/>
  </cols>
  <sheetData>
    <row r="5" spans="2:23" x14ac:dyDescent="0.25">
      <c r="B5" t="s">
        <v>303</v>
      </c>
    </row>
    <row r="6" spans="2:23" ht="15.75" thickBot="1" x14ac:dyDescent="0.3">
      <c r="B6" t="s">
        <v>57</v>
      </c>
    </row>
    <row r="7" spans="2:23" ht="15.75" thickBot="1" x14ac:dyDescent="0.3">
      <c r="T7" s="20" t="s">
        <v>1</v>
      </c>
      <c r="U7" s="21"/>
      <c r="V7" s="21"/>
      <c r="W7" s="22"/>
    </row>
    <row r="8" spans="2:23" x14ac:dyDescent="0.25">
      <c r="T8" s="1" t="s">
        <v>0</v>
      </c>
      <c r="U8" s="9" t="s">
        <v>320</v>
      </c>
      <c r="V8" s="9" t="s">
        <v>321</v>
      </c>
      <c r="W8" s="10" t="s">
        <v>322</v>
      </c>
    </row>
    <row r="9" spans="2:23" ht="21" x14ac:dyDescent="0.35">
      <c r="B9" s="12" t="s">
        <v>323</v>
      </c>
      <c r="T9" s="2">
        <v>1</v>
      </c>
      <c r="U9" s="6">
        <v>50</v>
      </c>
      <c r="V9" s="6">
        <v>25</v>
      </c>
      <c r="W9" s="3">
        <v>12</v>
      </c>
    </row>
    <row r="10" spans="2:23" x14ac:dyDescent="0.2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s="8" t="s">
        <v>7</v>
      </c>
      <c r="H10" s="8" t="s">
        <v>8</v>
      </c>
      <c r="I10" s="8" t="s">
        <v>9</v>
      </c>
      <c r="J10" s="8" t="s">
        <v>10</v>
      </c>
      <c r="K10" s="8" t="s">
        <v>11</v>
      </c>
      <c r="L10" s="8" t="s">
        <v>12</v>
      </c>
      <c r="M10" s="8" t="s">
        <v>13</v>
      </c>
      <c r="N10" s="8" t="s">
        <v>14</v>
      </c>
      <c r="O10" s="8" t="s">
        <v>15</v>
      </c>
      <c r="P10" s="8" t="s">
        <v>16</v>
      </c>
      <c r="Q10" s="11" t="s">
        <v>40</v>
      </c>
      <c r="R10" s="11" t="s">
        <v>370</v>
      </c>
      <c r="T10" s="2">
        <v>2</v>
      </c>
      <c r="U10" s="6">
        <v>45</v>
      </c>
      <c r="V10" s="6">
        <v>22</v>
      </c>
      <c r="W10" s="3">
        <v>9</v>
      </c>
    </row>
    <row r="11" spans="2:23" x14ac:dyDescent="0.25">
      <c r="B11" t="s">
        <v>304</v>
      </c>
      <c r="C11">
        <f ca="1">SUMIF(Top!$W$5:$W$168,$B11,Top!X$5:X$167)+SUMIF(Mid!$W$5:$W$168,$B11,Mid!X$5:X$167)</f>
        <v>0</v>
      </c>
      <c r="D11">
        <f ca="1">SUMIF(Top!$W$5:$W$168,$B11,Top!Y$5:Y$167)+SUMIF(Mid!$W$5:$W$168,$B11,Mid!Y$5:Y$167)</f>
        <v>0</v>
      </c>
      <c r="E11">
        <f ca="1">SUMIF(Top!$W$5:$W$168,$B11,Top!Z$5:Z$167)+SUMIF(Mid!$W$5:$W$168,$B11,Mid!Z$5:Z$167)</f>
        <v>51</v>
      </c>
      <c r="F11">
        <f ca="1">SUMIF(Top!$W$5:$W$168,$B11,Top!AA$5:AA$167)+SUMIF(Mid!$W$5:$W$168,$B11,Mid!AA$5:AA$167)</f>
        <v>0</v>
      </c>
      <c r="G11">
        <f ca="1">SUMIF(Top!$W$5:$W$168,$B11,Top!AB$5:AB$167)+SUMIF(Mid!$W$5:$W$168,$B11,Mid!AB$5:AB$167)</f>
        <v>0</v>
      </c>
      <c r="H11">
        <f ca="1">SUMIF(Top!$W$5:$W$168,$B11,Top!AC$5:AC$167)+SUMIF(Mid!$W$5:$W$168,$B11,Mid!AC$5:AC$167)</f>
        <v>0</v>
      </c>
      <c r="I11">
        <f ca="1">SUMIF(Top!$W$5:$W$168,$B11,Top!AD$5:AD$167)+SUMIF(Mid!$W$5:$W$168,$B11,Mid!AD$5:AD$167)</f>
        <v>0</v>
      </c>
      <c r="J11">
        <f ca="1">SUMIF(Top!$W$5:$W$168,$B11,Top!AE$5:AE$167)+SUMIF(Mid!$W$5:$W$168,$B11,Mid!AE$5:AE$167)</f>
        <v>0</v>
      </c>
      <c r="K11">
        <f ca="1">SUMIF(Top!$W$5:$W$168,$B11,Top!AF$5:AF$167)+SUMIF(Mid!$W$5:$W$168,$B11,Mid!AF$5:AF$167)</f>
        <v>0</v>
      </c>
      <c r="L11">
        <f ca="1">SUMIF(Top!$W$5:$W$168,$B11,Top!AG$5:AG$167)+SUMIF(Mid!$W$5:$W$168,$B11,Mid!AG$5:AG$167)</f>
        <v>0</v>
      </c>
      <c r="M11">
        <f ca="1">SUMIF(Top!$W$5:$W$168,$B11,Top!AH$5:AH$167)+SUMIF(Mid!$W$5:$W$168,$B11,Mid!AH$5:AH$167)</f>
        <v>0</v>
      </c>
      <c r="N11">
        <f ca="1">SUMIF(Top!$W$5:$W$168,$B11,Top!AI$5:AI$167)+SUMIF(Mid!$W$5:$W$168,$B11,Mid!AI$5:AI$167)</f>
        <v>0</v>
      </c>
      <c r="O11">
        <f ca="1">SUMIF(Top!$W$5:$W$168,$B11,Top!AJ$5:AJ$167)+SUMIF(Mid!$W$5:$W$168,$B11,Mid!AJ$5:AJ$167)</f>
        <v>0</v>
      </c>
      <c r="P11">
        <f ca="1">SUMIF(Top!$W$5:$W$168,$B11,Top!AK$5:AK$167)+SUMIF(Mid!$W$5:$W$168,$B11,Mid!AK$5:AK$167)</f>
        <v>0</v>
      </c>
      <c r="Q11">
        <f t="shared" ref="Q11:Q74" ca="1" si="0">SUM(C11:P11)</f>
        <v>51</v>
      </c>
      <c r="R11" s="17">
        <f t="shared" ref="R11:R74" ca="1" si="1">IF(Q11=0,0,Q11/COUNTIF(C11:P11,"&gt;0"))</f>
        <v>51</v>
      </c>
      <c r="T11" s="2">
        <v>3</v>
      </c>
      <c r="U11" s="6">
        <v>42</v>
      </c>
      <c r="V11" s="6">
        <v>20</v>
      </c>
      <c r="W11" s="3">
        <v>7</v>
      </c>
    </row>
    <row r="12" spans="2:23" x14ac:dyDescent="0.25">
      <c r="B12" t="s">
        <v>48</v>
      </c>
      <c r="C12">
        <f ca="1">SUMIF(Top!$W$5:$W$168,$B12,Top!X$5:X$167)+SUMIF(Mid!$W$5:$W$168,$B12,Mid!X$5:X$167)</f>
        <v>0</v>
      </c>
      <c r="D12">
        <f ca="1">SUMIF(Top!$W$5:$W$168,$B12,Top!Y$5:Y$167)+SUMIF(Mid!$W$5:$W$168,$B12,Mid!Y$5:Y$167)</f>
        <v>50</v>
      </c>
      <c r="E12">
        <f ca="1">SUMIF(Top!$W$5:$W$168,$B12,Top!Z$5:Z$167)+SUMIF(Mid!$W$5:$W$168,$B12,Mid!Z$5:Z$167)</f>
        <v>0</v>
      </c>
      <c r="F12">
        <f ca="1">SUMIF(Top!$W$5:$W$168,$B12,Top!AA$5:AA$167)+SUMIF(Mid!$W$5:$W$168,$B12,Mid!AA$5:AA$167)</f>
        <v>25</v>
      </c>
      <c r="G12">
        <f ca="1">SUMIF(Top!$W$5:$W$168,$B12,Top!AB$5:AB$167)+SUMIF(Mid!$W$5:$W$168,$B12,Mid!AB$5:AB$167)</f>
        <v>0</v>
      </c>
      <c r="H12">
        <f ca="1">SUMIF(Top!$W$5:$W$168,$B12,Top!AC$5:AC$167)+SUMIF(Mid!$W$5:$W$168,$B12,Mid!AC$5:AC$167)</f>
        <v>0</v>
      </c>
      <c r="I12">
        <f ca="1">SUMIF(Top!$W$5:$W$168,$B12,Top!AD$5:AD$167)+SUMIF(Mid!$W$5:$W$168,$B12,Mid!AD$5:AD$167)</f>
        <v>0</v>
      </c>
      <c r="J12">
        <f ca="1">SUMIF(Top!$W$5:$W$168,$B12,Top!AE$5:AE$167)+SUMIF(Mid!$W$5:$W$168,$B12,Mid!AE$5:AE$167)</f>
        <v>0</v>
      </c>
      <c r="K12">
        <f ca="1">SUMIF(Top!$W$5:$W$168,$B12,Top!AF$5:AF$167)+SUMIF(Mid!$W$5:$W$168,$B12,Mid!AF$5:AF$167)</f>
        <v>0</v>
      </c>
      <c r="L12">
        <f ca="1">SUMIF(Top!$W$5:$W$168,$B12,Top!AG$5:AG$167)+SUMIF(Mid!$W$5:$W$168,$B12,Mid!AG$5:AG$167)</f>
        <v>0</v>
      </c>
      <c r="M12">
        <f ca="1">SUMIF(Top!$W$5:$W$168,$B12,Top!AH$5:AH$167)+SUMIF(Mid!$W$5:$W$168,$B12,Mid!AH$5:AH$167)</f>
        <v>0</v>
      </c>
      <c r="N12">
        <f ca="1">SUMIF(Top!$W$5:$W$168,$B12,Top!AI$5:AI$167)+SUMIF(Mid!$W$5:$W$168,$B12,Mid!AI$5:AI$167)</f>
        <v>0</v>
      </c>
      <c r="O12">
        <f ca="1">SUMIF(Top!$W$5:$W$168,$B12,Top!AJ$5:AJ$167)+SUMIF(Mid!$W$5:$W$168,$B12,Mid!AJ$5:AJ$167)</f>
        <v>0</v>
      </c>
      <c r="P12">
        <f ca="1">SUMIF(Top!$W$5:$W$168,$B12,Top!AK$5:AK$167)+SUMIF(Mid!$W$5:$W$168,$B12,Mid!AK$5:AK$167)</f>
        <v>0</v>
      </c>
      <c r="Q12">
        <f t="shared" ca="1" si="0"/>
        <v>75</v>
      </c>
      <c r="R12" s="17">
        <f t="shared" ca="1" si="1"/>
        <v>37.5</v>
      </c>
      <c r="T12" s="2">
        <v>4</v>
      </c>
      <c r="U12" s="6">
        <v>40</v>
      </c>
      <c r="V12" s="6">
        <v>18</v>
      </c>
      <c r="W12" s="3">
        <v>5</v>
      </c>
    </row>
    <row r="13" spans="2:23" x14ac:dyDescent="0.25">
      <c r="B13" t="s">
        <v>306</v>
      </c>
      <c r="C13">
        <f ca="1">SUMIF(Top!$W$5:$W$168,$B13,Top!X$5:X$167)+SUMIF(Mid!$W$5:$W$168,$B13,Mid!X$5:X$167)</f>
        <v>0</v>
      </c>
      <c r="D13">
        <f ca="1">SUMIF(Top!$W$5:$W$168,$B13,Top!Y$5:Y$167)+SUMIF(Mid!$W$5:$W$168,$B13,Mid!Y$5:Y$167)</f>
        <v>47</v>
      </c>
      <c r="E13">
        <f ca="1">SUMIF(Top!$W$5:$W$168,$B13,Top!Z$5:Z$167)+SUMIF(Mid!$W$5:$W$168,$B13,Mid!Z$5:Z$167)</f>
        <v>0</v>
      </c>
      <c r="F13">
        <f ca="1">SUMIF(Top!$W$5:$W$168,$B13,Top!AA$5:AA$167)+SUMIF(Mid!$W$5:$W$168,$B13,Mid!AA$5:AA$167)</f>
        <v>0</v>
      </c>
      <c r="G13">
        <f ca="1">SUMIF(Top!$W$5:$W$168,$B13,Top!AB$5:AB$167)+SUMIF(Mid!$W$5:$W$168,$B13,Mid!AB$5:AB$167)</f>
        <v>0</v>
      </c>
      <c r="H13">
        <f ca="1">SUMIF(Top!$W$5:$W$168,$B13,Top!AC$5:AC$167)+SUMIF(Mid!$W$5:$W$168,$B13,Mid!AC$5:AC$167)</f>
        <v>0</v>
      </c>
      <c r="I13">
        <f ca="1">SUMIF(Top!$W$5:$W$168,$B13,Top!AD$5:AD$167)+SUMIF(Mid!$W$5:$W$168,$B13,Mid!AD$5:AD$167)</f>
        <v>0</v>
      </c>
      <c r="J13">
        <f ca="1">SUMIF(Top!$W$5:$W$168,$B13,Top!AE$5:AE$167)+SUMIF(Mid!$W$5:$W$168,$B13,Mid!AE$5:AE$167)</f>
        <v>0</v>
      </c>
      <c r="K13">
        <f ca="1">SUMIF(Top!$W$5:$W$168,$B13,Top!AF$5:AF$167)+SUMIF(Mid!$W$5:$W$168,$B13,Mid!AF$5:AF$167)</f>
        <v>0</v>
      </c>
      <c r="L13">
        <f ca="1">SUMIF(Top!$W$5:$W$168,$B13,Top!AG$5:AG$167)+SUMIF(Mid!$W$5:$W$168,$B13,Mid!AG$5:AG$167)</f>
        <v>0</v>
      </c>
      <c r="M13">
        <f ca="1">SUMIF(Top!$W$5:$W$168,$B13,Top!AH$5:AH$167)+SUMIF(Mid!$W$5:$W$168,$B13,Mid!AH$5:AH$167)</f>
        <v>0</v>
      </c>
      <c r="N13">
        <f ca="1">SUMIF(Top!$W$5:$W$168,$B13,Top!AI$5:AI$167)+SUMIF(Mid!$W$5:$W$168,$B13,Mid!AI$5:AI$167)</f>
        <v>0</v>
      </c>
      <c r="O13">
        <f ca="1">SUMIF(Top!$W$5:$W$168,$B13,Top!AJ$5:AJ$167)+SUMIF(Mid!$W$5:$W$168,$B13,Mid!AJ$5:AJ$167)</f>
        <v>0</v>
      </c>
      <c r="P13">
        <f ca="1">SUMIF(Top!$W$5:$W$168,$B13,Top!AK$5:AK$167)+SUMIF(Mid!$W$5:$W$168,$B13,Mid!AK$5:AK$167)</f>
        <v>0</v>
      </c>
      <c r="Q13">
        <f t="shared" ca="1" si="0"/>
        <v>47</v>
      </c>
      <c r="R13" s="17">
        <f t="shared" ca="1" si="1"/>
        <v>47</v>
      </c>
      <c r="T13" s="2">
        <v>5</v>
      </c>
      <c r="U13" s="6">
        <v>38</v>
      </c>
      <c r="V13" s="6">
        <v>16</v>
      </c>
      <c r="W13" s="3">
        <v>4</v>
      </c>
    </row>
    <row r="14" spans="2:23" x14ac:dyDescent="0.25">
      <c r="B14" t="s">
        <v>308</v>
      </c>
      <c r="C14">
        <f ca="1">SUMIF(Top!$W$5:$W$168,$B14,Top!X$5:X$167)+SUMIF(Mid!$W$5:$W$168,$B14,Mid!X$5:X$167)</f>
        <v>0</v>
      </c>
      <c r="D14">
        <f ca="1">SUMIF(Top!$W$5:$W$168,$B14,Top!Y$5:Y$167)+SUMIF(Mid!$W$5:$W$168,$B14,Mid!Y$5:Y$167)</f>
        <v>0</v>
      </c>
      <c r="E14">
        <f ca="1">SUMIF(Top!$W$5:$W$168,$B14,Top!Z$5:Z$167)+SUMIF(Mid!$W$5:$W$168,$B14,Mid!Z$5:Z$167)</f>
        <v>46</v>
      </c>
      <c r="F14">
        <f ca="1">SUMIF(Top!$W$5:$W$168,$B14,Top!AA$5:AA$167)+SUMIF(Mid!$W$5:$W$168,$B14,Mid!AA$5:AA$167)</f>
        <v>0</v>
      </c>
      <c r="G14">
        <f ca="1">SUMIF(Top!$W$5:$W$168,$B14,Top!AB$5:AB$167)+SUMIF(Mid!$W$5:$W$168,$B14,Mid!AB$5:AB$167)</f>
        <v>0</v>
      </c>
      <c r="H14">
        <f ca="1">SUMIF(Top!$W$5:$W$168,$B14,Top!AC$5:AC$167)+SUMIF(Mid!$W$5:$W$168,$B14,Mid!AC$5:AC$167)</f>
        <v>0</v>
      </c>
      <c r="I14">
        <f ca="1">SUMIF(Top!$W$5:$W$168,$B14,Top!AD$5:AD$167)+SUMIF(Mid!$W$5:$W$168,$B14,Mid!AD$5:AD$167)</f>
        <v>0</v>
      </c>
      <c r="J14">
        <f ca="1">SUMIF(Top!$W$5:$W$168,$B14,Top!AE$5:AE$167)+SUMIF(Mid!$W$5:$W$168,$B14,Mid!AE$5:AE$167)</f>
        <v>0</v>
      </c>
      <c r="K14">
        <f ca="1">SUMIF(Top!$W$5:$W$168,$B14,Top!AF$5:AF$167)+SUMIF(Mid!$W$5:$W$168,$B14,Mid!AF$5:AF$167)</f>
        <v>0</v>
      </c>
      <c r="L14">
        <f ca="1">SUMIF(Top!$W$5:$W$168,$B14,Top!AG$5:AG$167)+SUMIF(Mid!$W$5:$W$168,$B14,Mid!AG$5:AG$167)</f>
        <v>0</v>
      </c>
      <c r="M14">
        <f ca="1">SUMIF(Top!$W$5:$W$168,$B14,Top!AH$5:AH$167)+SUMIF(Mid!$W$5:$W$168,$B14,Mid!AH$5:AH$167)</f>
        <v>0</v>
      </c>
      <c r="N14">
        <f ca="1">SUMIF(Top!$W$5:$W$168,$B14,Top!AI$5:AI$167)+SUMIF(Mid!$W$5:$W$168,$B14,Mid!AI$5:AI$167)</f>
        <v>0</v>
      </c>
      <c r="O14">
        <f ca="1">SUMIF(Top!$W$5:$W$168,$B14,Top!AJ$5:AJ$167)+SUMIF(Mid!$W$5:$W$168,$B14,Mid!AJ$5:AJ$167)</f>
        <v>0</v>
      </c>
      <c r="P14">
        <f ca="1">SUMIF(Top!$W$5:$W$168,$B14,Top!AK$5:AK$167)+SUMIF(Mid!$W$5:$W$168,$B14,Mid!AK$5:AK$167)</f>
        <v>0</v>
      </c>
      <c r="Q14">
        <f t="shared" ca="1" si="0"/>
        <v>46</v>
      </c>
      <c r="R14" s="17">
        <f t="shared" ca="1" si="1"/>
        <v>46</v>
      </c>
      <c r="T14" s="2">
        <v>6</v>
      </c>
      <c r="U14" s="6">
        <v>36</v>
      </c>
      <c r="V14" s="6">
        <v>14</v>
      </c>
      <c r="W14" s="3">
        <v>3</v>
      </c>
    </row>
    <row r="15" spans="2:23" x14ac:dyDescent="0.25">
      <c r="B15" t="s">
        <v>47</v>
      </c>
      <c r="C15">
        <f ca="1">SUMIF(Top!$W$5:$W$168,$B15,Top!X$5:X$167)+SUMIF(Mid!$W$5:$W$168,$B15,Mid!X$5:X$167)</f>
        <v>46</v>
      </c>
      <c r="D15">
        <f ca="1">SUMIF(Top!$W$5:$W$168,$B15,Top!Y$5:Y$167)+SUMIF(Mid!$W$5:$W$168,$B15,Mid!Y$5:Y$167)</f>
        <v>0</v>
      </c>
      <c r="E15">
        <f ca="1">SUMIF(Top!$W$5:$W$168,$B15,Top!Z$5:Z$167)+SUMIF(Mid!$W$5:$W$168,$B15,Mid!Z$5:Z$167)</f>
        <v>26</v>
      </c>
      <c r="F15">
        <f ca="1">SUMIF(Top!$W$5:$W$168,$B15,Top!AA$5:AA$167)+SUMIF(Mid!$W$5:$W$168,$B15,Mid!AA$5:AA$167)</f>
        <v>0</v>
      </c>
      <c r="G15">
        <f ca="1">SUMIF(Top!$W$5:$W$168,$B15,Top!AB$5:AB$167)+SUMIF(Mid!$W$5:$W$168,$B15,Mid!AB$5:AB$167)</f>
        <v>0</v>
      </c>
      <c r="H15">
        <f ca="1">SUMIF(Top!$W$5:$W$168,$B15,Top!AC$5:AC$167)+SUMIF(Mid!$W$5:$W$168,$B15,Mid!AC$5:AC$167)</f>
        <v>0</v>
      </c>
      <c r="I15">
        <f ca="1">SUMIF(Top!$W$5:$W$168,$B15,Top!AD$5:AD$167)+SUMIF(Mid!$W$5:$W$168,$B15,Mid!AD$5:AD$167)</f>
        <v>0</v>
      </c>
      <c r="J15">
        <f ca="1">SUMIF(Top!$W$5:$W$168,$B15,Top!AE$5:AE$167)+SUMIF(Mid!$W$5:$W$168,$B15,Mid!AE$5:AE$167)</f>
        <v>0</v>
      </c>
      <c r="K15">
        <f ca="1">SUMIF(Top!$W$5:$W$168,$B15,Top!AF$5:AF$167)+SUMIF(Mid!$W$5:$W$168,$B15,Mid!AF$5:AF$167)</f>
        <v>0</v>
      </c>
      <c r="L15">
        <f ca="1">SUMIF(Top!$W$5:$W$168,$B15,Top!AG$5:AG$167)+SUMIF(Mid!$W$5:$W$168,$B15,Mid!AG$5:AG$167)</f>
        <v>0</v>
      </c>
      <c r="M15">
        <f ca="1">SUMIF(Top!$W$5:$W$168,$B15,Top!AH$5:AH$167)+SUMIF(Mid!$W$5:$W$168,$B15,Mid!AH$5:AH$167)</f>
        <v>0</v>
      </c>
      <c r="N15">
        <f ca="1">SUMIF(Top!$W$5:$W$168,$B15,Top!AI$5:AI$167)+SUMIF(Mid!$W$5:$W$168,$B15,Mid!AI$5:AI$167)</f>
        <v>0</v>
      </c>
      <c r="O15">
        <f ca="1">SUMIF(Top!$W$5:$W$168,$B15,Top!AJ$5:AJ$167)+SUMIF(Mid!$W$5:$W$168,$B15,Mid!AJ$5:AJ$167)</f>
        <v>0</v>
      </c>
      <c r="P15">
        <f ca="1">SUMIF(Top!$W$5:$W$168,$B15,Top!AK$5:AK$167)+SUMIF(Mid!$W$5:$W$168,$B15,Mid!AK$5:AK$167)</f>
        <v>0</v>
      </c>
      <c r="Q15">
        <f t="shared" ca="1" si="0"/>
        <v>72</v>
      </c>
      <c r="R15" s="17">
        <f t="shared" ca="1" si="1"/>
        <v>36</v>
      </c>
      <c r="T15" s="2">
        <v>7</v>
      </c>
      <c r="U15" s="6">
        <v>34</v>
      </c>
      <c r="V15" s="6">
        <v>12</v>
      </c>
      <c r="W15" s="3">
        <v>2</v>
      </c>
    </row>
    <row r="16" spans="2:23" x14ac:dyDescent="0.25">
      <c r="B16" t="s">
        <v>311</v>
      </c>
      <c r="C16">
        <f ca="1">SUMIF(Top!$W$5:$W$168,$B16,Top!X$5:X$167)+SUMIF(Mid!$W$5:$W$168,$B16,Mid!X$5:X$167)</f>
        <v>0</v>
      </c>
      <c r="D16">
        <f ca="1">SUMIF(Top!$W$5:$W$168,$B16,Top!Y$5:Y$167)+SUMIF(Mid!$W$5:$W$168,$B16,Mid!Y$5:Y$167)</f>
        <v>42</v>
      </c>
      <c r="E16">
        <f ca="1">SUMIF(Top!$W$5:$W$168,$B16,Top!Z$5:Z$167)+SUMIF(Mid!$W$5:$W$168,$B16,Mid!Z$5:Z$167)</f>
        <v>0</v>
      </c>
      <c r="F16">
        <f ca="1">SUMIF(Top!$W$5:$W$168,$B16,Top!AA$5:AA$167)+SUMIF(Mid!$W$5:$W$168,$B16,Mid!AA$5:AA$167)</f>
        <v>42</v>
      </c>
      <c r="G16">
        <f ca="1">SUMIF(Top!$W$5:$W$168,$B16,Top!AB$5:AB$167)+SUMIF(Mid!$W$5:$W$168,$B16,Mid!AB$5:AB$167)</f>
        <v>0</v>
      </c>
      <c r="H16">
        <f ca="1">SUMIF(Top!$W$5:$W$168,$B16,Top!AC$5:AC$167)+SUMIF(Mid!$W$5:$W$168,$B16,Mid!AC$5:AC$167)</f>
        <v>0</v>
      </c>
      <c r="I16">
        <f ca="1">SUMIF(Top!$W$5:$W$168,$B16,Top!AD$5:AD$167)+SUMIF(Mid!$W$5:$W$168,$B16,Mid!AD$5:AD$167)</f>
        <v>0</v>
      </c>
      <c r="J16">
        <f ca="1">SUMIF(Top!$W$5:$W$168,$B16,Top!AE$5:AE$167)+SUMIF(Mid!$W$5:$W$168,$B16,Mid!AE$5:AE$167)</f>
        <v>0</v>
      </c>
      <c r="K16">
        <f ca="1">SUMIF(Top!$W$5:$W$168,$B16,Top!AF$5:AF$167)+SUMIF(Mid!$W$5:$W$168,$B16,Mid!AF$5:AF$167)</f>
        <v>0</v>
      </c>
      <c r="L16">
        <f ca="1">SUMIF(Top!$W$5:$W$168,$B16,Top!AG$5:AG$167)+SUMIF(Mid!$W$5:$W$168,$B16,Mid!AG$5:AG$167)</f>
        <v>0</v>
      </c>
      <c r="M16">
        <f ca="1">SUMIF(Top!$W$5:$W$168,$B16,Top!AH$5:AH$167)+SUMIF(Mid!$W$5:$W$168,$B16,Mid!AH$5:AH$167)</f>
        <v>0</v>
      </c>
      <c r="N16">
        <f ca="1">SUMIF(Top!$W$5:$W$168,$B16,Top!AI$5:AI$167)+SUMIF(Mid!$W$5:$W$168,$B16,Mid!AI$5:AI$167)</f>
        <v>0</v>
      </c>
      <c r="O16">
        <f ca="1">SUMIF(Top!$W$5:$W$168,$B16,Top!AJ$5:AJ$167)+SUMIF(Mid!$W$5:$W$168,$B16,Mid!AJ$5:AJ$167)</f>
        <v>0</v>
      </c>
      <c r="P16">
        <f ca="1">SUMIF(Top!$W$5:$W$168,$B16,Top!AK$5:AK$167)+SUMIF(Mid!$W$5:$W$168,$B16,Mid!AK$5:AK$167)</f>
        <v>0</v>
      </c>
      <c r="Q16">
        <f t="shared" ca="1" si="0"/>
        <v>84</v>
      </c>
      <c r="R16" s="17">
        <f t="shared" ca="1" si="1"/>
        <v>42</v>
      </c>
      <c r="T16" s="2">
        <v>8</v>
      </c>
      <c r="U16" s="6">
        <v>32</v>
      </c>
      <c r="V16" s="6">
        <v>10</v>
      </c>
      <c r="W16" s="3">
        <v>1</v>
      </c>
    </row>
    <row r="17" spans="2:23" x14ac:dyDescent="0.25">
      <c r="B17" t="s">
        <v>19</v>
      </c>
      <c r="C17">
        <f ca="1">SUMIF(Top!$W$5:$W$168,$B17,Top!X$5:X$167)+SUMIF(Mid!$W$5:$W$168,$B17,Mid!X$5:X$167)</f>
        <v>50</v>
      </c>
      <c r="D17">
        <f ca="1">SUMIF(Top!$W$5:$W$168,$B17,Top!Y$5:Y$167)+SUMIF(Mid!$W$5:$W$168,$B17,Mid!Y$5:Y$167)</f>
        <v>0</v>
      </c>
      <c r="E17">
        <f ca="1">SUMIF(Top!$W$5:$W$168,$B17,Top!Z$5:Z$167)+SUMIF(Mid!$W$5:$W$168,$B17,Mid!Z$5:Z$167)</f>
        <v>39</v>
      </c>
      <c r="F17">
        <f ca="1">SUMIF(Top!$W$5:$W$168,$B17,Top!AA$5:AA$167)+SUMIF(Mid!$W$5:$W$168,$B17,Mid!AA$5:AA$167)</f>
        <v>32</v>
      </c>
      <c r="G17">
        <f ca="1">SUMIF(Top!$W$5:$W$168,$B17,Top!AB$5:AB$167)+SUMIF(Mid!$W$5:$W$168,$B17,Mid!AB$5:AB$167)</f>
        <v>0</v>
      </c>
      <c r="H17">
        <f ca="1">SUMIF(Top!$W$5:$W$168,$B17,Top!AC$5:AC$167)+SUMIF(Mid!$W$5:$W$168,$B17,Mid!AC$5:AC$167)</f>
        <v>0</v>
      </c>
      <c r="I17">
        <f ca="1">SUMIF(Top!$W$5:$W$168,$B17,Top!AD$5:AD$167)+SUMIF(Mid!$W$5:$W$168,$B17,Mid!AD$5:AD$167)</f>
        <v>0</v>
      </c>
      <c r="J17">
        <f ca="1">SUMIF(Top!$W$5:$W$168,$B17,Top!AE$5:AE$167)+SUMIF(Mid!$W$5:$W$168,$B17,Mid!AE$5:AE$167)</f>
        <v>0</v>
      </c>
      <c r="K17">
        <f ca="1">SUMIF(Top!$W$5:$W$168,$B17,Top!AF$5:AF$167)+SUMIF(Mid!$W$5:$W$168,$B17,Mid!AF$5:AF$167)</f>
        <v>0</v>
      </c>
      <c r="L17">
        <f ca="1">SUMIF(Top!$W$5:$W$168,$B17,Top!AG$5:AG$167)+SUMIF(Mid!$W$5:$W$168,$B17,Mid!AG$5:AG$167)</f>
        <v>0</v>
      </c>
      <c r="M17">
        <f ca="1">SUMIF(Top!$W$5:$W$168,$B17,Top!AH$5:AH$167)+SUMIF(Mid!$W$5:$W$168,$B17,Mid!AH$5:AH$167)</f>
        <v>0</v>
      </c>
      <c r="N17">
        <f ca="1">SUMIF(Top!$W$5:$W$168,$B17,Top!AI$5:AI$167)+SUMIF(Mid!$W$5:$W$168,$B17,Mid!AI$5:AI$167)</f>
        <v>0</v>
      </c>
      <c r="O17">
        <f ca="1">SUMIF(Top!$W$5:$W$168,$B17,Top!AJ$5:AJ$167)+SUMIF(Mid!$W$5:$W$168,$B17,Mid!AJ$5:AJ$167)</f>
        <v>0</v>
      </c>
      <c r="P17">
        <f ca="1">SUMIF(Top!$W$5:$W$168,$B17,Top!AK$5:AK$167)+SUMIF(Mid!$W$5:$W$168,$B17,Mid!AK$5:AK$167)</f>
        <v>0</v>
      </c>
      <c r="Q17">
        <f t="shared" ca="1" si="0"/>
        <v>121</v>
      </c>
      <c r="R17" s="17">
        <f t="shared" ca="1" si="1"/>
        <v>40.333333333333336</v>
      </c>
      <c r="T17" s="2">
        <v>9</v>
      </c>
      <c r="U17" s="6">
        <v>30</v>
      </c>
      <c r="V17" s="6">
        <v>8</v>
      </c>
      <c r="W17" s="3">
        <v>0</v>
      </c>
    </row>
    <row r="18" spans="2:23" x14ac:dyDescent="0.25">
      <c r="B18" t="s">
        <v>315</v>
      </c>
      <c r="C18">
        <f ca="1">SUMIF(Top!$W$5:$W$168,$B18,Top!X$5:X$167)+SUMIF(Mid!$W$5:$W$168,$B18,Mid!X$5:X$167)</f>
        <v>42</v>
      </c>
      <c r="D18">
        <f ca="1">SUMIF(Top!$W$5:$W$168,$B18,Top!Y$5:Y$167)+SUMIF(Mid!$W$5:$W$168,$B18,Mid!Y$5:Y$167)</f>
        <v>0</v>
      </c>
      <c r="E18">
        <f ca="1">SUMIF(Top!$W$5:$W$168,$B18,Top!Z$5:Z$167)+SUMIF(Mid!$W$5:$W$168,$B18,Mid!Z$5:Z$167)</f>
        <v>36</v>
      </c>
      <c r="F18">
        <f ca="1">SUMIF(Top!$W$5:$W$168,$B18,Top!AA$5:AA$167)+SUMIF(Mid!$W$5:$W$168,$B18,Mid!AA$5:AA$167)</f>
        <v>42</v>
      </c>
      <c r="G18">
        <f ca="1">SUMIF(Top!$W$5:$W$168,$B18,Top!AB$5:AB$167)+SUMIF(Mid!$W$5:$W$168,$B18,Mid!AB$5:AB$167)</f>
        <v>0</v>
      </c>
      <c r="H18">
        <f ca="1">SUMIF(Top!$W$5:$W$168,$B18,Top!AC$5:AC$167)+SUMIF(Mid!$W$5:$W$168,$B18,Mid!AC$5:AC$167)</f>
        <v>0</v>
      </c>
      <c r="I18">
        <f ca="1">SUMIF(Top!$W$5:$W$168,$B18,Top!AD$5:AD$167)+SUMIF(Mid!$W$5:$W$168,$B18,Mid!AD$5:AD$167)</f>
        <v>0</v>
      </c>
      <c r="J18">
        <f ca="1">SUMIF(Top!$W$5:$W$168,$B18,Top!AE$5:AE$167)+SUMIF(Mid!$W$5:$W$168,$B18,Mid!AE$5:AE$167)</f>
        <v>0</v>
      </c>
      <c r="K18">
        <f ca="1">SUMIF(Top!$W$5:$W$168,$B18,Top!AF$5:AF$167)+SUMIF(Mid!$W$5:$W$168,$B18,Mid!AF$5:AF$167)</f>
        <v>0</v>
      </c>
      <c r="L18">
        <f ca="1">SUMIF(Top!$W$5:$W$168,$B18,Top!AG$5:AG$167)+SUMIF(Mid!$W$5:$W$168,$B18,Mid!AG$5:AG$167)</f>
        <v>0</v>
      </c>
      <c r="M18">
        <f ca="1">SUMIF(Top!$W$5:$W$168,$B18,Top!AH$5:AH$167)+SUMIF(Mid!$W$5:$W$168,$B18,Mid!AH$5:AH$167)</f>
        <v>0</v>
      </c>
      <c r="N18">
        <f ca="1">SUMIF(Top!$W$5:$W$168,$B18,Top!AI$5:AI$167)+SUMIF(Mid!$W$5:$W$168,$B18,Mid!AI$5:AI$167)</f>
        <v>0</v>
      </c>
      <c r="O18">
        <f ca="1">SUMIF(Top!$W$5:$W$168,$B18,Top!AJ$5:AJ$167)+SUMIF(Mid!$W$5:$W$168,$B18,Mid!AJ$5:AJ$167)</f>
        <v>0</v>
      </c>
      <c r="P18">
        <f ca="1">SUMIF(Top!$W$5:$W$168,$B18,Top!AK$5:AK$167)+SUMIF(Mid!$W$5:$W$168,$B18,Mid!AK$5:AK$167)</f>
        <v>0</v>
      </c>
      <c r="Q18">
        <f t="shared" ca="1" si="0"/>
        <v>120</v>
      </c>
      <c r="R18" s="17">
        <f t="shared" ca="1" si="1"/>
        <v>40</v>
      </c>
      <c r="T18" s="2">
        <v>10</v>
      </c>
      <c r="U18" s="6">
        <v>28</v>
      </c>
      <c r="V18" s="6">
        <v>6</v>
      </c>
      <c r="W18" s="3">
        <v>0</v>
      </c>
    </row>
    <row r="19" spans="2:23" x14ac:dyDescent="0.25">
      <c r="B19" t="s">
        <v>309</v>
      </c>
      <c r="C19">
        <f ca="1">SUMIF(Top!$W$5:$W$168,$B19,Top!X$5:X$167)+SUMIF(Mid!$W$5:$W$168,$B19,Mid!X$5:X$167)</f>
        <v>38</v>
      </c>
      <c r="D19">
        <f ca="1">SUMIF(Top!$W$5:$W$168,$B19,Top!Y$5:Y$167)+SUMIF(Mid!$W$5:$W$168,$B19,Mid!Y$5:Y$167)</f>
        <v>0</v>
      </c>
      <c r="E19">
        <f ca="1">SUMIF(Top!$W$5:$W$168,$B19,Top!Z$5:Z$167)+SUMIF(Mid!$W$5:$W$168,$B19,Mid!Z$5:Z$167)</f>
        <v>42</v>
      </c>
      <c r="F19">
        <f ca="1">SUMIF(Top!$W$5:$W$168,$B19,Top!AA$5:AA$167)+SUMIF(Mid!$W$5:$W$168,$B19,Mid!AA$5:AA$167)</f>
        <v>0</v>
      </c>
      <c r="G19">
        <f ca="1">SUMIF(Top!$W$5:$W$168,$B19,Top!AB$5:AB$167)+SUMIF(Mid!$W$5:$W$168,$B19,Mid!AB$5:AB$167)</f>
        <v>0</v>
      </c>
      <c r="H19">
        <f ca="1">SUMIF(Top!$W$5:$W$168,$B19,Top!AC$5:AC$167)+SUMIF(Mid!$W$5:$W$168,$B19,Mid!AC$5:AC$167)</f>
        <v>0</v>
      </c>
      <c r="I19">
        <f ca="1">SUMIF(Top!$W$5:$W$168,$B19,Top!AD$5:AD$167)+SUMIF(Mid!$W$5:$W$168,$B19,Mid!AD$5:AD$167)</f>
        <v>0</v>
      </c>
      <c r="J19">
        <f ca="1">SUMIF(Top!$W$5:$W$168,$B19,Top!AE$5:AE$167)+SUMIF(Mid!$W$5:$W$168,$B19,Mid!AE$5:AE$167)</f>
        <v>0</v>
      </c>
      <c r="K19">
        <f ca="1">SUMIF(Top!$W$5:$W$168,$B19,Top!AF$5:AF$167)+SUMIF(Mid!$W$5:$W$168,$B19,Mid!AF$5:AF$167)</f>
        <v>0</v>
      </c>
      <c r="L19">
        <f ca="1">SUMIF(Top!$W$5:$W$168,$B19,Top!AG$5:AG$167)+SUMIF(Mid!$W$5:$W$168,$B19,Mid!AG$5:AG$167)</f>
        <v>0</v>
      </c>
      <c r="M19">
        <f ca="1">SUMIF(Top!$W$5:$W$168,$B19,Top!AH$5:AH$167)+SUMIF(Mid!$W$5:$W$168,$B19,Mid!AH$5:AH$167)</f>
        <v>0</v>
      </c>
      <c r="N19">
        <f ca="1">SUMIF(Top!$W$5:$W$168,$B19,Top!AI$5:AI$167)+SUMIF(Mid!$W$5:$W$168,$B19,Mid!AI$5:AI$167)</f>
        <v>0</v>
      </c>
      <c r="O19">
        <f ca="1">SUMIF(Top!$W$5:$W$168,$B19,Top!AJ$5:AJ$167)+SUMIF(Mid!$W$5:$W$168,$B19,Mid!AJ$5:AJ$167)</f>
        <v>0</v>
      </c>
      <c r="P19">
        <f ca="1">SUMIF(Top!$W$5:$W$168,$B19,Top!AK$5:AK$167)+SUMIF(Mid!$W$5:$W$168,$B19,Mid!AK$5:AK$167)</f>
        <v>0</v>
      </c>
      <c r="Q19">
        <f t="shared" ca="1" si="0"/>
        <v>80</v>
      </c>
      <c r="R19" s="17">
        <f t="shared" ca="1" si="1"/>
        <v>40</v>
      </c>
      <c r="T19" s="2">
        <v>11</v>
      </c>
      <c r="U19" s="6">
        <v>26</v>
      </c>
      <c r="V19" s="6">
        <v>5</v>
      </c>
      <c r="W19" s="3">
        <v>0</v>
      </c>
    </row>
    <row r="20" spans="2:23" x14ac:dyDescent="0.25">
      <c r="B20" t="s">
        <v>314</v>
      </c>
      <c r="C20">
        <f ca="1">SUMIF(Top!$W$5:$W$168,$B20,Top!X$5:X$167)+SUMIF(Mid!$W$5:$W$168,$B20,Mid!X$5:X$167)</f>
        <v>0</v>
      </c>
      <c r="D20">
        <f ca="1">SUMIF(Top!$W$5:$W$168,$B20,Top!Y$5:Y$167)+SUMIF(Mid!$W$5:$W$168,$B20,Mid!Y$5:Y$167)</f>
        <v>40</v>
      </c>
      <c r="E20">
        <f ca="1">SUMIF(Top!$W$5:$W$168,$B20,Top!Z$5:Z$167)+SUMIF(Mid!$W$5:$W$168,$B20,Mid!Z$5:Z$167)</f>
        <v>0</v>
      </c>
      <c r="F20">
        <f ca="1">SUMIF(Top!$W$5:$W$168,$B20,Top!AA$5:AA$167)+SUMIF(Mid!$W$5:$W$168,$B20,Mid!AA$5:AA$167)</f>
        <v>0</v>
      </c>
      <c r="G20">
        <f ca="1">SUMIF(Top!$W$5:$W$168,$B20,Top!AB$5:AB$167)+SUMIF(Mid!$W$5:$W$168,$B20,Mid!AB$5:AB$167)</f>
        <v>0</v>
      </c>
      <c r="H20">
        <f ca="1">SUMIF(Top!$W$5:$W$168,$B20,Top!AC$5:AC$167)+SUMIF(Mid!$W$5:$W$168,$B20,Mid!AC$5:AC$167)</f>
        <v>0</v>
      </c>
      <c r="I20">
        <f ca="1">SUMIF(Top!$W$5:$W$168,$B20,Top!AD$5:AD$167)+SUMIF(Mid!$W$5:$W$168,$B20,Mid!AD$5:AD$167)</f>
        <v>0</v>
      </c>
      <c r="J20">
        <f ca="1">SUMIF(Top!$W$5:$W$168,$B20,Top!AE$5:AE$167)+SUMIF(Mid!$W$5:$W$168,$B20,Mid!AE$5:AE$167)</f>
        <v>0</v>
      </c>
      <c r="K20">
        <f ca="1">SUMIF(Top!$W$5:$W$168,$B20,Top!AF$5:AF$167)+SUMIF(Mid!$W$5:$W$168,$B20,Mid!AF$5:AF$167)</f>
        <v>0</v>
      </c>
      <c r="L20">
        <f ca="1">SUMIF(Top!$W$5:$W$168,$B20,Top!AG$5:AG$167)+SUMIF(Mid!$W$5:$W$168,$B20,Mid!AG$5:AG$167)</f>
        <v>0</v>
      </c>
      <c r="M20">
        <f ca="1">SUMIF(Top!$W$5:$W$168,$B20,Top!AH$5:AH$167)+SUMIF(Mid!$W$5:$W$168,$B20,Mid!AH$5:AH$167)</f>
        <v>0</v>
      </c>
      <c r="N20">
        <f ca="1">SUMIF(Top!$W$5:$W$168,$B20,Top!AI$5:AI$167)+SUMIF(Mid!$W$5:$W$168,$B20,Mid!AI$5:AI$167)</f>
        <v>0</v>
      </c>
      <c r="O20">
        <f ca="1">SUMIF(Top!$W$5:$W$168,$B20,Top!AJ$5:AJ$167)+SUMIF(Mid!$W$5:$W$168,$B20,Mid!AJ$5:AJ$167)</f>
        <v>0</v>
      </c>
      <c r="P20">
        <f ca="1">SUMIF(Top!$W$5:$W$168,$B20,Top!AK$5:AK$167)+SUMIF(Mid!$W$5:$W$168,$B20,Mid!AK$5:AK$167)</f>
        <v>0</v>
      </c>
      <c r="Q20">
        <f t="shared" ca="1" si="0"/>
        <v>40</v>
      </c>
      <c r="R20" s="17">
        <f t="shared" ca="1" si="1"/>
        <v>40</v>
      </c>
      <c r="T20" s="2">
        <v>12</v>
      </c>
      <c r="U20" s="6">
        <v>24</v>
      </c>
      <c r="V20" s="6">
        <v>4</v>
      </c>
      <c r="W20" s="3">
        <v>0</v>
      </c>
    </row>
    <row r="21" spans="2:23" x14ac:dyDescent="0.25">
      <c r="B21" t="s">
        <v>32</v>
      </c>
      <c r="C21">
        <f ca="1">SUMIF(Top!$W$5:$W$168,$B21,Top!X$5:X$167)+SUMIF(Mid!$W$5:$W$168,$B21,Mid!X$5:X$167)</f>
        <v>0</v>
      </c>
      <c r="D21">
        <f ca="1">SUMIF(Top!$W$5:$W$168,$B21,Top!Y$5:Y$167)+SUMIF(Mid!$W$5:$W$168,$B21,Mid!Y$5:Y$167)</f>
        <v>0</v>
      </c>
      <c r="E21">
        <f ca="1">SUMIF(Top!$W$5:$W$168,$B21,Top!Z$5:Z$167)+SUMIF(Mid!$W$5:$W$168,$B21,Mid!Z$5:Z$167)</f>
        <v>40</v>
      </c>
      <c r="F21">
        <f ca="1">SUMIF(Top!$W$5:$W$168,$B21,Top!AA$5:AA$167)+SUMIF(Mid!$W$5:$W$168,$B21,Mid!AA$5:AA$167)</f>
        <v>0</v>
      </c>
      <c r="G21">
        <f ca="1">SUMIF(Top!$W$5:$W$168,$B21,Top!AB$5:AB$167)+SUMIF(Mid!$W$5:$W$168,$B21,Mid!AB$5:AB$167)</f>
        <v>0</v>
      </c>
      <c r="H21">
        <f ca="1">SUMIF(Top!$W$5:$W$168,$B21,Top!AC$5:AC$167)+SUMIF(Mid!$W$5:$W$168,$B21,Mid!AC$5:AC$167)</f>
        <v>0</v>
      </c>
      <c r="I21">
        <f ca="1">SUMIF(Top!$W$5:$W$168,$B21,Top!AD$5:AD$167)+SUMIF(Mid!$W$5:$W$168,$B21,Mid!AD$5:AD$167)</f>
        <v>0</v>
      </c>
      <c r="J21">
        <f ca="1">SUMIF(Top!$W$5:$W$168,$B21,Top!AE$5:AE$167)+SUMIF(Mid!$W$5:$W$168,$B21,Mid!AE$5:AE$167)</f>
        <v>0</v>
      </c>
      <c r="K21">
        <f ca="1">SUMIF(Top!$W$5:$W$168,$B21,Top!AF$5:AF$167)+SUMIF(Mid!$W$5:$W$168,$B21,Mid!AF$5:AF$167)</f>
        <v>0</v>
      </c>
      <c r="L21">
        <f ca="1">SUMIF(Top!$W$5:$W$168,$B21,Top!AG$5:AG$167)+SUMIF(Mid!$W$5:$W$168,$B21,Mid!AG$5:AG$167)</f>
        <v>0</v>
      </c>
      <c r="M21">
        <f ca="1">SUMIF(Top!$W$5:$W$168,$B21,Top!AH$5:AH$167)+SUMIF(Mid!$W$5:$W$168,$B21,Mid!AH$5:AH$167)</f>
        <v>0</v>
      </c>
      <c r="N21">
        <f ca="1">SUMIF(Top!$W$5:$W$168,$B21,Top!AI$5:AI$167)+SUMIF(Mid!$W$5:$W$168,$B21,Mid!AI$5:AI$167)</f>
        <v>0</v>
      </c>
      <c r="O21">
        <f ca="1">SUMIF(Top!$W$5:$W$168,$B21,Top!AJ$5:AJ$167)+SUMIF(Mid!$W$5:$W$168,$B21,Mid!AJ$5:AJ$167)</f>
        <v>0</v>
      </c>
      <c r="P21">
        <f ca="1">SUMIF(Top!$W$5:$W$168,$B21,Top!AK$5:AK$167)+SUMIF(Mid!$W$5:$W$168,$B21,Mid!AK$5:AK$167)</f>
        <v>0</v>
      </c>
      <c r="Q21">
        <f t="shared" ca="1" si="0"/>
        <v>40</v>
      </c>
      <c r="R21" s="17">
        <f t="shared" ca="1" si="1"/>
        <v>40</v>
      </c>
      <c r="T21" s="2">
        <v>13</v>
      </c>
      <c r="U21" s="6">
        <v>22</v>
      </c>
      <c r="V21" s="6">
        <v>3</v>
      </c>
      <c r="W21" s="3">
        <v>0</v>
      </c>
    </row>
    <row r="22" spans="2:23" x14ac:dyDescent="0.25">
      <c r="B22" t="s">
        <v>41</v>
      </c>
      <c r="C22">
        <f ca="1">SUMIF(Top!$W$5:$W$168,$B22,Top!X$5:X$167)+SUMIF(Mid!$W$5:$W$168,$B22,Mid!X$5:X$167)</f>
        <v>0</v>
      </c>
      <c r="D22">
        <f ca="1">SUMIF(Top!$W$5:$W$168,$B22,Top!Y$5:Y$167)+SUMIF(Mid!$W$5:$W$168,$B22,Mid!Y$5:Y$167)</f>
        <v>0</v>
      </c>
      <c r="E22">
        <f ca="1">SUMIF(Top!$W$5:$W$168,$B22,Top!Z$5:Z$167)+SUMIF(Mid!$W$5:$W$168,$B22,Mid!Z$5:Z$167)</f>
        <v>0</v>
      </c>
      <c r="F22">
        <f ca="1">SUMIF(Top!$W$5:$W$168,$B22,Top!AA$5:AA$167)+SUMIF(Mid!$W$5:$W$168,$B22,Mid!AA$5:AA$167)</f>
        <v>38</v>
      </c>
      <c r="G22">
        <f ca="1">SUMIF(Top!$W$5:$W$168,$B22,Top!AB$5:AB$167)+SUMIF(Mid!$W$5:$W$168,$B22,Mid!AB$5:AB$167)</f>
        <v>0</v>
      </c>
      <c r="H22">
        <f ca="1">SUMIF(Top!$W$5:$W$168,$B22,Top!AC$5:AC$167)+SUMIF(Mid!$W$5:$W$168,$B22,Mid!AC$5:AC$167)</f>
        <v>0</v>
      </c>
      <c r="I22">
        <f ca="1">SUMIF(Top!$W$5:$W$168,$B22,Top!AD$5:AD$167)+SUMIF(Mid!$W$5:$W$168,$B22,Mid!AD$5:AD$167)</f>
        <v>0</v>
      </c>
      <c r="J22">
        <f ca="1">SUMIF(Top!$W$5:$W$168,$B22,Top!AE$5:AE$167)+SUMIF(Mid!$W$5:$W$168,$B22,Mid!AE$5:AE$167)</f>
        <v>0</v>
      </c>
      <c r="K22">
        <f ca="1">SUMIF(Top!$W$5:$W$168,$B22,Top!AF$5:AF$167)+SUMIF(Mid!$W$5:$W$168,$B22,Mid!AF$5:AF$167)</f>
        <v>0</v>
      </c>
      <c r="L22">
        <f ca="1">SUMIF(Top!$W$5:$W$168,$B22,Top!AG$5:AG$167)+SUMIF(Mid!$W$5:$W$168,$B22,Mid!AG$5:AG$167)</f>
        <v>0</v>
      </c>
      <c r="M22">
        <f ca="1">SUMIF(Top!$W$5:$W$168,$B22,Top!AH$5:AH$167)+SUMIF(Mid!$W$5:$W$168,$B22,Mid!AH$5:AH$167)</f>
        <v>0</v>
      </c>
      <c r="N22">
        <f ca="1">SUMIF(Top!$W$5:$W$168,$B22,Top!AI$5:AI$167)+SUMIF(Mid!$W$5:$W$168,$B22,Mid!AI$5:AI$167)</f>
        <v>0</v>
      </c>
      <c r="O22">
        <f ca="1">SUMIF(Top!$W$5:$W$168,$B22,Top!AJ$5:AJ$167)+SUMIF(Mid!$W$5:$W$168,$B22,Mid!AJ$5:AJ$167)</f>
        <v>0</v>
      </c>
      <c r="P22">
        <f ca="1">SUMIF(Top!$W$5:$W$168,$B22,Top!AK$5:AK$167)+SUMIF(Mid!$W$5:$W$168,$B22,Mid!AK$5:AK$167)</f>
        <v>0</v>
      </c>
      <c r="Q22">
        <f t="shared" ca="1" si="0"/>
        <v>38</v>
      </c>
      <c r="R22" s="17">
        <f t="shared" ca="1" si="1"/>
        <v>38</v>
      </c>
      <c r="T22" s="2">
        <v>14</v>
      </c>
      <c r="U22" s="6">
        <v>20</v>
      </c>
      <c r="V22" s="6">
        <v>2</v>
      </c>
      <c r="W22" s="3">
        <v>0</v>
      </c>
    </row>
    <row r="23" spans="2:23" x14ac:dyDescent="0.25">
      <c r="B23" t="s">
        <v>49</v>
      </c>
      <c r="C23">
        <f ca="1">SUMIF(Top!$W$5:$W$168,$B23,Top!X$5:X$167)+SUMIF(Mid!$W$5:$W$168,$B23,Mid!X$5:X$167)</f>
        <v>0</v>
      </c>
      <c r="D23">
        <f ca="1">SUMIF(Top!$W$5:$W$168,$B23,Top!Y$5:Y$167)+SUMIF(Mid!$W$5:$W$168,$B23,Mid!Y$5:Y$167)</f>
        <v>34</v>
      </c>
      <c r="E23">
        <f ca="1">SUMIF(Top!$W$5:$W$168,$B23,Top!Z$5:Z$167)+SUMIF(Mid!$W$5:$W$168,$B23,Mid!Z$5:Z$167)</f>
        <v>0</v>
      </c>
      <c r="F23">
        <f ca="1">SUMIF(Top!$W$5:$W$168,$B23,Top!AA$5:AA$167)+SUMIF(Mid!$W$5:$W$168,$B23,Mid!AA$5:AA$167)</f>
        <v>0</v>
      </c>
      <c r="G23">
        <f ca="1">SUMIF(Top!$W$5:$W$168,$B23,Top!AB$5:AB$167)+SUMIF(Mid!$W$5:$W$168,$B23,Mid!AB$5:AB$167)</f>
        <v>0</v>
      </c>
      <c r="H23">
        <f ca="1">SUMIF(Top!$W$5:$W$168,$B23,Top!AC$5:AC$167)+SUMIF(Mid!$W$5:$W$168,$B23,Mid!AC$5:AC$167)</f>
        <v>0</v>
      </c>
      <c r="I23">
        <f ca="1">SUMIF(Top!$W$5:$W$168,$B23,Top!AD$5:AD$167)+SUMIF(Mid!$W$5:$W$168,$B23,Mid!AD$5:AD$167)</f>
        <v>0</v>
      </c>
      <c r="J23">
        <f ca="1">SUMIF(Top!$W$5:$W$168,$B23,Top!AE$5:AE$167)+SUMIF(Mid!$W$5:$W$168,$B23,Mid!AE$5:AE$167)</f>
        <v>0</v>
      </c>
      <c r="K23">
        <f ca="1">SUMIF(Top!$W$5:$W$168,$B23,Top!AF$5:AF$167)+SUMIF(Mid!$W$5:$W$168,$B23,Mid!AF$5:AF$167)</f>
        <v>0</v>
      </c>
      <c r="L23">
        <f ca="1">SUMIF(Top!$W$5:$W$168,$B23,Top!AG$5:AG$167)+SUMIF(Mid!$W$5:$W$168,$B23,Mid!AG$5:AG$167)</f>
        <v>0</v>
      </c>
      <c r="M23">
        <f ca="1">SUMIF(Top!$W$5:$W$168,$B23,Top!AH$5:AH$167)+SUMIF(Mid!$W$5:$W$168,$B23,Mid!AH$5:AH$167)</f>
        <v>0</v>
      </c>
      <c r="N23">
        <f ca="1">SUMIF(Top!$W$5:$W$168,$B23,Top!AI$5:AI$167)+SUMIF(Mid!$W$5:$W$168,$B23,Mid!AI$5:AI$167)</f>
        <v>0</v>
      </c>
      <c r="O23">
        <f ca="1">SUMIF(Top!$W$5:$W$168,$B23,Top!AJ$5:AJ$167)+SUMIF(Mid!$W$5:$W$168,$B23,Mid!AJ$5:AJ$167)</f>
        <v>0</v>
      </c>
      <c r="P23">
        <f ca="1">SUMIF(Top!$W$5:$W$168,$B23,Top!AK$5:AK$167)+SUMIF(Mid!$W$5:$W$168,$B23,Mid!AK$5:AK$167)</f>
        <v>0</v>
      </c>
      <c r="Q23">
        <f t="shared" ca="1" si="0"/>
        <v>34</v>
      </c>
      <c r="R23" s="17">
        <f t="shared" ca="1" si="1"/>
        <v>34</v>
      </c>
      <c r="T23" s="2">
        <v>15</v>
      </c>
      <c r="U23" s="6">
        <v>19</v>
      </c>
      <c r="V23" s="6">
        <v>1</v>
      </c>
      <c r="W23" s="3">
        <v>0</v>
      </c>
    </row>
    <row r="24" spans="2:23" x14ac:dyDescent="0.25">
      <c r="B24" t="s">
        <v>54</v>
      </c>
      <c r="C24">
        <f ca="1">SUMIF(Top!$W$5:$W$168,$B24,Top!X$5:X$167)+SUMIF(Mid!$W$5:$W$168,$B24,Mid!X$5:X$167)</f>
        <v>34</v>
      </c>
      <c r="D24">
        <f ca="1">SUMIF(Top!$W$5:$W$168,$B24,Top!Y$5:Y$167)+SUMIF(Mid!$W$5:$W$168,$B24,Mid!Y$5:Y$167)</f>
        <v>0</v>
      </c>
      <c r="E24">
        <f ca="1">SUMIF(Top!$W$5:$W$168,$B24,Top!Z$5:Z$167)+SUMIF(Mid!$W$5:$W$168,$B24,Mid!Z$5:Z$167)</f>
        <v>0</v>
      </c>
      <c r="F24">
        <f ca="1">SUMIF(Top!$W$5:$W$168,$B24,Top!AA$5:AA$167)+SUMIF(Mid!$W$5:$W$168,$B24,Mid!AA$5:AA$167)</f>
        <v>0</v>
      </c>
      <c r="G24">
        <f ca="1">SUMIF(Top!$W$5:$W$168,$B24,Top!AB$5:AB$167)+SUMIF(Mid!$W$5:$W$168,$B24,Mid!AB$5:AB$167)</f>
        <v>0</v>
      </c>
      <c r="H24">
        <f ca="1">SUMIF(Top!$W$5:$W$168,$B24,Top!AC$5:AC$167)+SUMIF(Mid!$W$5:$W$168,$B24,Mid!AC$5:AC$167)</f>
        <v>0</v>
      </c>
      <c r="I24">
        <f ca="1">SUMIF(Top!$W$5:$W$168,$B24,Top!AD$5:AD$167)+SUMIF(Mid!$W$5:$W$168,$B24,Mid!AD$5:AD$167)</f>
        <v>0</v>
      </c>
      <c r="J24">
        <f ca="1">SUMIF(Top!$W$5:$W$168,$B24,Top!AE$5:AE$167)+SUMIF(Mid!$W$5:$W$168,$B24,Mid!AE$5:AE$167)</f>
        <v>0</v>
      </c>
      <c r="K24">
        <f ca="1">SUMIF(Top!$W$5:$W$168,$B24,Top!AF$5:AF$167)+SUMIF(Mid!$W$5:$W$168,$B24,Mid!AF$5:AF$167)</f>
        <v>0</v>
      </c>
      <c r="L24">
        <f ca="1">SUMIF(Top!$W$5:$W$168,$B24,Top!AG$5:AG$167)+SUMIF(Mid!$W$5:$W$168,$B24,Mid!AG$5:AG$167)</f>
        <v>0</v>
      </c>
      <c r="M24">
        <f ca="1">SUMIF(Top!$W$5:$W$168,$B24,Top!AH$5:AH$167)+SUMIF(Mid!$W$5:$W$168,$B24,Mid!AH$5:AH$167)</f>
        <v>0</v>
      </c>
      <c r="N24">
        <f ca="1">SUMIF(Top!$W$5:$W$168,$B24,Top!AI$5:AI$167)+SUMIF(Mid!$W$5:$W$168,$B24,Mid!AI$5:AI$167)</f>
        <v>0</v>
      </c>
      <c r="O24">
        <f ca="1">SUMIF(Top!$W$5:$W$168,$B24,Top!AJ$5:AJ$167)+SUMIF(Mid!$W$5:$W$168,$B24,Mid!AJ$5:AJ$167)</f>
        <v>0</v>
      </c>
      <c r="P24">
        <f ca="1">SUMIF(Top!$W$5:$W$168,$B24,Top!AK$5:AK$167)+SUMIF(Mid!$W$5:$W$168,$B24,Mid!AK$5:AK$167)</f>
        <v>0</v>
      </c>
      <c r="Q24">
        <f t="shared" ca="1" si="0"/>
        <v>34</v>
      </c>
      <c r="R24" s="17">
        <f t="shared" ca="1" si="1"/>
        <v>34</v>
      </c>
      <c r="T24" s="2">
        <v>16</v>
      </c>
      <c r="U24" s="6">
        <v>18</v>
      </c>
      <c r="V24" s="6">
        <v>0</v>
      </c>
      <c r="W24" s="3">
        <v>0</v>
      </c>
    </row>
    <row r="25" spans="2:23" x14ac:dyDescent="0.25">
      <c r="B25" t="s">
        <v>307</v>
      </c>
      <c r="C25">
        <f ca="1">SUMIF(Top!$W$5:$W$168,$B25,Top!X$5:X$167)+SUMIF(Mid!$W$5:$W$168,$B25,Mid!X$5:X$167)</f>
        <v>16</v>
      </c>
      <c r="D25">
        <f ca="1">SUMIF(Top!$W$5:$W$168,$B25,Top!Y$5:Y$167)+SUMIF(Mid!$W$5:$W$168,$B25,Mid!Y$5:Y$167)</f>
        <v>0</v>
      </c>
      <c r="E25">
        <f ca="1">SUMIF(Top!$W$5:$W$168,$B25,Top!Z$5:Z$167)+SUMIF(Mid!$W$5:$W$168,$B25,Mid!Z$5:Z$167)</f>
        <v>0</v>
      </c>
      <c r="F25">
        <f ca="1">SUMIF(Top!$W$5:$W$168,$B25,Top!AA$5:AA$167)+SUMIF(Mid!$W$5:$W$168,$B25,Mid!AA$5:AA$167)</f>
        <v>51</v>
      </c>
      <c r="G25">
        <f ca="1">SUMIF(Top!$W$5:$W$168,$B25,Top!AB$5:AB$167)+SUMIF(Mid!$W$5:$W$168,$B25,Mid!AB$5:AB$167)</f>
        <v>0</v>
      </c>
      <c r="H25">
        <f ca="1">SUMIF(Top!$W$5:$W$168,$B25,Top!AC$5:AC$167)+SUMIF(Mid!$W$5:$W$168,$B25,Mid!AC$5:AC$167)</f>
        <v>0</v>
      </c>
      <c r="I25">
        <f ca="1">SUMIF(Top!$W$5:$W$168,$B25,Top!AD$5:AD$167)+SUMIF(Mid!$W$5:$W$168,$B25,Mid!AD$5:AD$167)</f>
        <v>0</v>
      </c>
      <c r="J25">
        <f ca="1">SUMIF(Top!$W$5:$W$168,$B25,Top!AE$5:AE$167)+SUMIF(Mid!$W$5:$W$168,$B25,Mid!AE$5:AE$167)</f>
        <v>0</v>
      </c>
      <c r="K25">
        <f ca="1">SUMIF(Top!$W$5:$W$168,$B25,Top!AF$5:AF$167)+SUMIF(Mid!$W$5:$W$168,$B25,Mid!AF$5:AF$167)</f>
        <v>0</v>
      </c>
      <c r="L25">
        <f ca="1">SUMIF(Top!$W$5:$W$168,$B25,Top!AG$5:AG$167)+SUMIF(Mid!$W$5:$W$168,$B25,Mid!AG$5:AG$167)</f>
        <v>0</v>
      </c>
      <c r="M25">
        <f ca="1">SUMIF(Top!$W$5:$W$168,$B25,Top!AH$5:AH$167)+SUMIF(Mid!$W$5:$W$168,$B25,Mid!AH$5:AH$167)</f>
        <v>0</v>
      </c>
      <c r="N25">
        <f ca="1">SUMIF(Top!$W$5:$W$168,$B25,Top!AI$5:AI$167)+SUMIF(Mid!$W$5:$W$168,$B25,Mid!AI$5:AI$167)</f>
        <v>0</v>
      </c>
      <c r="O25">
        <f ca="1">SUMIF(Top!$W$5:$W$168,$B25,Top!AJ$5:AJ$167)+SUMIF(Mid!$W$5:$W$168,$B25,Mid!AJ$5:AJ$167)</f>
        <v>0</v>
      </c>
      <c r="P25">
        <f ca="1">SUMIF(Top!$W$5:$W$168,$B25,Top!AK$5:AK$167)+SUMIF(Mid!$W$5:$W$168,$B25,Mid!AK$5:AK$167)</f>
        <v>0</v>
      </c>
      <c r="Q25">
        <f t="shared" ca="1" si="0"/>
        <v>67</v>
      </c>
      <c r="R25" s="17">
        <f t="shared" ca="1" si="1"/>
        <v>33.5</v>
      </c>
      <c r="T25" s="2">
        <v>17</v>
      </c>
      <c r="U25" s="6">
        <v>17</v>
      </c>
      <c r="V25" s="6">
        <v>0</v>
      </c>
      <c r="W25" s="3">
        <v>0</v>
      </c>
    </row>
    <row r="26" spans="2:23" x14ac:dyDescent="0.25">
      <c r="B26" t="s">
        <v>317</v>
      </c>
      <c r="C26">
        <f ca="1">SUMIF(Top!$W$5:$W$168,$B26,Top!X$5:X$167)+SUMIF(Mid!$W$5:$W$168,$B26,Mid!X$5:X$167)</f>
        <v>30</v>
      </c>
      <c r="D26">
        <f ca="1">SUMIF(Top!$W$5:$W$168,$B26,Top!Y$5:Y$167)+SUMIF(Mid!$W$5:$W$168,$B26,Mid!Y$5:Y$167)</f>
        <v>0</v>
      </c>
      <c r="E26">
        <f ca="1">SUMIF(Top!$W$5:$W$168,$B26,Top!Z$5:Z$167)+SUMIF(Mid!$W$5:$W$168,$B26,Mid!Z$5:Z$167)</f>
        <v>0</v>
      </c>
      <c r="F26">
        <f ca="1">SUMIF(Top!$W$5:$W$168,$B26,Top!AA$5:AA$167)+SUMIF(Mid!$W$5:$W$168,$B26,Mid!AA$5:AA$167)</f>
        <v>36</v>
      </c>
      <c r="G26">
        <f ca="1">SUMIF(Top!$W$5:$W$168,$B26,Top!AB$5:AB$167)+SUMIF(Mid!$W$5:$W$168,$B26,Mid!AB$5:AB$167)</f>
        <v>0</v>
      </c>
      <c r="H26">
        <f ca="1">SUMIF(Top!$W$5:$W$168,$B26,Top!AC$5:AC$167)+SUMIF(Mid!$W$5:$W$168,$B26,Mid!AC$5:AC$167)</f>
        <v>0</v>
      </c>
      <c r="I26">
        <f ca="1">SUMIF(Top!$W$5:$W$168,$B26,Top!AD$5:AD$167)+SUMIF(Mid!$W$5:$W$168,$B26,Mid!AD$5:AD$167)</f>
        <v>0</v>
      </c>
      <c r="J26">
        <f ca="1">SUMIF(Top!$W$5:$W$168,$B26,Top!AE$5:AE$167)+SUMIF(Mid!$W$5:$W$168,$B26,Mid!AE$5:AE$167)</f>
        <v>0</v>
      </c>
      <c r="K26">
        <f ca="1">SUMIF(Top!$W$5:$W$168,$B26,Top!AF$5:AF$167)+SUMIF(Mid!$W$5:$W$168,$B26,Mid!AF$5:AF$167)</f>
        <v>0</v>
      </c>
      <c r="L26">
        <f ca="1">SUMIF(Top!$W$5:$W$168,$B26,Top!AG$5:AG$167)+SUMIF(Mid!$W$5:$W$168,$B26,Mid!AG$5:AG$167)</f>
        <v>0</v>
      </c>
      <c r="M26">
        <f ca="1">SUMIF(Top!$W$5:$W$168,$B26,Top!AH$5:AH$167)+SUMIF(Mid!$W$5:$W$168,$B26,Mid!AH$5:AH$167)</f>
        <v>0</v>
      </c>
      <c r="N26">
        <f ca="1">SUMIF(Top!$W$5:$W$168,$B26,Top!AI$5:AI$167)+SUMIF(Mid!$W$5:$W$168,$B26,Mid!AI$5:AI$167)</f>
        <v>0</v>
      </c>
      <c r="O26">
        <f ca="1">SUMIF(Top!$W$5:$W$168,$B26,Top!AJ$5:AJ$167)+SUMIF(Mid!$W$5:$W$168,$B26,Mid!AJ$5:AJ$167)</f>
        <v>0</v>
      </c>
      <c r="P26">
        <f ca="1">SUMIF(Top!$W$5:$W$168,$B26,Top!AK$5:AK$167)+SUMIF(Mid!$W$5:$W$168,$B26,Mid!AK$5:AK$167)</f>
        <v>0</v>
      </c>
      <c r="Q26">
        <f t="shared" ca="1" si="0"/>
        <v>66</v>
      </c>
      <c r="R26" s="17">
        <f t="shared" ca="1" si="1"/>
        <v>33</v>
      </c>
      <c r="T26" s="2">
        <v>18</v>
      </c>
      <c r="U26" s="6">
        <v>16</v>
      </c>
      <c r="V26" s="6">
        <v>0</v>
      </c>
      <c r="W26" s="3">
        <v>0</v>
      </c>
    </row>
    <row r="27" spans="2:23" x14ac:dyDescent="0.25">
      <c r="B27" t="s">
        <v>303</v>
      </c>
      <c r="C27">
        <f ca="1">SUMIF(Top!$W$5:$W$168,$B27,Top!X$5:X$167)+SUMIF(Mid!$W$5:$W$168,$B27,Mid!X$5:X$167)</f>
        <v>18</v>
      </c>
      <c r="D27">
        <f ca="1">SUMIF(Top!$W$5:$W$168,$B27,Top!Y$5:Y$167)+SUMIF(Mid!$W$5:$W$168,$B27,Mid!Y$5:Y$167)</f>
        <v>0</v>
      </c>
      <c r="E27">
        <f ca="1">SUMIF(Top!$W$5:$W$168,$B27,Top!Z$5:Z$167)+SUMIF(Mid!$W$5:$W$168,$B27,Mid!Z$5:Z$167)</f>
        <v>0</v>
      </c>
      <c r="F27">
        <f ca="1">SUMIF(Top!$W$5:$W$168,$B27,Top!AA$5:AA$167)+SUMIF(Mid!$W$5:$W$168,$B27,Mid!AA$5:AA$167)</f>
        <v>45</v>
      </c>
      <c r="G27">
        <f ca="1">SUMIF(Top!$W$5:$W$168,$B27,Top!AB$5:AB$167)+SUMIF(Mid!$W$5:$W$168,$B27,Mid!AB$5:AB$167)</f>
        <v>0</v>
      </c>
      <c r="H27">
        <f ca="1">SUMIF(Top!$W$5:$W$168,$B27,Top!AC$5:AC$167)+SUMIF(Mid!$W$5:$W$168,$B27,Mid!AC$5:AC$167)</f>
        <v>0</v>
      </c>
      <c r="I27">
        <f ca="1">SUMIF(Top!$W$5:$W$168,$B27,Top!AD$5:AD$167)+SUMIF(Mid!$W$5:$W$168,$B27,Mid!AD$5:AD$167)</f>
        <v>0</v>
      </c>
      <c r="J27">
        <f ca="1">SUMIF(Top!$W$5:$W$168,$B27,Top!AE$5:AE$167)+SUMIF(Mid!$W$5:$W$168,$B27,Mid!AE$5:AE$167)</f>
        <v>0</v>
      </c>
      <c r="K27">
        <f ca="1">SUMIF(Top!$W$5:$W$168,$B27,Top!AF$5:AF$167)+SUMIF(Mid!$W$5:$W$168,$B27,Mid!AF$5:AF$167)</f>
        <v>0</v>
      </c>
      <c r="L27">
        <f ca="1">SUMIF(Top!$W$5:$W$168,$B27,Top!AG$5:AG$167)+SUMIF(Mid!$W$5:$W$168,$B27,Mid!AG$5:AG$167)</f>
        <v>0</v>
      </c>
      <c r="M27">
        <f ca="1">SUMIF(Top!$W$5:$W$168,$B27,Top!AH$5:AH$167)+SUMIF(Mid!$W$5:$W$168,$B27,Mid!AH$5:AH$167)</f>
        <v>0</v>
      </c>
      <c r="N27">
        <f ca="1">SUMIF(Top!$W$5:$W$168,$B27,Top!AI$5:AI$167)+SUMIF(Mid!$W$5:$W$168,$B27,Mid!AI$5:AI$167)</f>
        <v>0</v>
      </c>
      <c r="O27">
        <f ca="1">SUMIF(Top!$W$5:$W$168,$B27,Top!AJ$5:AJ$167)+SUMIF(Mid!$W$5:$W$168,$B27,Mid!AJ$5:AJ$167)</f>
        <v>0</v>
      </c>
      <c r="P27">
        <f ca="1">SUMIF(Top!$W$5:$W$168,$B27,Top!AK$5:AK$167)+SUMIF(Mid!$W$5:$W$168,$B27,Mid!AK$5:AK$167)</f>
        <v>0</v>
      </c>
      <c r="Q27">
        <f t="shared" ca="1" si="0"/>
        <v>63</v>
      </c>
      <c r="R27" s="17">
        <f t="shared" ca="1" si="1"/>
        <v>31.5</v>
      </c>
      <c r="T27" s="2">
        <v>19</v>
      </c>
      <c r="U27" s="6">
        <v>15</v>
      </c>
      <c r="V27" s="6">
        <v>0</v>
      </c>
      <c r="W27" s="3">
        <v>0</v>
      </c>
    </row>
    <row r="28" spans="2:23" ht="15.75" thickBot="1" x14ac:dyDescent="0.3">
      <c r="B28" t="s">
        <v>312</v>
      </c>
      <c r="C28">
        <f ca="1">SUMIF(Top!$W$5:$W$168,$B28,Top!X$5:X$167)+SUMIF(Mid!$W$5:$W$168,$B28,Mid!X$5:X$167)</f>
        <v>40</v>
      </c>
      <c r="D28">
        <f ca="1">SUMIF(Top!$W$5:$W$168,$B28,Top!Y$5:Y$167)+SUMIF(Mid!$W$5:$W$168,$B28,Mid!Y$5:Y$167)</f>
        <v>0</v>
      </c>
      <c r="E28">
        <f ca="1">SUMIF(Top!$W$5:$W$168,$B28,Top!Z$5:Z$167)+SUMIF(Mid!$W$5:$W$168,$B28,Mid!Z$5:Z$167)</f>
        <v>22</v>
      </c>
      <c r="F28">
        <f ca="1">SUMIF(Top!$W$5:$W$168,$B28,Top!AA$5:AA$167)+SUMIF(Mid!$W$5:$W$168,$B28,Mid!AA$5:AA$167)</f>
        <v>0</v>
      </c>
      <c r="G28">
        <f ca="1">SUMIF(Top!$W$5:$W$168,$B28,Top!AB$5:AB$167)+SUMIF(Mid!$W$5:$W$168,$B28,Mid!AB$5:AB$167)</f>
        <v>0</v>
      </c>
      <c r="H28">
        <f ca="1">SUMIF(Top!$W$5:$W$168,$B28,Top!AC$5:AC$167)+SUMIF(Mid!$W$5:$W$168,$B28,Mid!AC$5:AC$167)</f>
        <v>0</v>
      </c>
      <c r="I28">
        <f ca="1">SUMIF(Top!$W$5:$W$168,$B28,Top!AD$5:AD$167)+SUMIF(Mid!$W$5:$W$168,$B28,Mid!AD$5:AD$167)</f>
        <v>0</v>
      </c>
      <c r="J28">
        <f ca="1">SUMIF(Top!$W$5:$W$168,$B28,Top!AE$5:AE$167)+SUMIF(Mid!$W$5:$W$168,$B28,Mid!AE$5:AE$167)</f>
        <v>0</v>
      </c>
      <c r="K28">
        <f ca="1">SUMIF(Top!$W$5:$W$168,$B28,Top!AF$5:AF$167)+SUMIF(Mid!$W$5:$W$168,$B28,Mid!AF$5:AF$167)</f>
        <v>0</v>
      </c>
      <c r="L28">
        <f ca="1">SUMIF(Top!$W$5:$W$168,$B28,Top!AG$5:AG$167)+SUMIF(Mid!$W$5:$W$168,$B28,Mid!AG$5:AG$167)</f>
        <v>0</v>
      </c>
      <c r="M28">
        <f ca="1">SUMIF(Top!$W$5:$W$168,$B28,Top!AH$5:AH$167)+SUMIF(Mid!$W$5:$W$168,$B28,Mid!AH$5:AH$167)</f>
        <v>0</v>
      </c>
      <c r="N28">
        <f ca="1">SUMIF(Top!$W$5:$W$168,$B28,Top!AI$5:AI$167)+SUMIF(Mid!$W$5:$W$168,$B28,Mid!AI$5:AI$167)</f>
        <v>0</v>
      </c>
      <c r="O28">
        <f ca="1">SUMIF(Top!$W$5:$W$168,$B28,Top!AJ$5:AJ$167)+SUMIF(Mid!$W$5:$W$168,$B28,Mid!AJ$5:AJ$167)</f>
        <v>0</v>
      </c>
      <c r="P28">
        <f ca="1">SUMIF(Top!$W$5:$W$168,$B28,Top!AK$5:AK$167)+SUMIF(Mid!$W$5:$W$168,$B28,Mid!AK$5:AK$167)</f>
        <v>0</v>
      </c>
      <c r="Q28">
        <f t="shared" ca="1" si="0"/>
        <v>62</v>
      </c>
      <c r="R28" s="17">
        <f t="shared" ca="1" si="1"/>
        <v>31</v>
      </c>
      <c r="T28" s="4">
        <v>20</v>
      </c>
      <c r="U28" s="7">
        <v>14</v>
      </c>
      <c r="V28" s="7">
        <v>0</v>
      </c>
      <c r="W28" s="5">
        <v>0</v>
      </c>
    </row>
    <row r="29" spans="2:23" x14ac:dyDescent="0.25">
      <c r="B29" t="s">
        <v>318</v>
      </c>
      <c r="C29">
        <f ca="1">SUMIF(Top!$W$5:$W$168,$B29,Top!X$5:X$167)+SUMIF(Mid!$W$5:$W$168,$B29,Mid!X$5:X$167)</f>
        <v>8</v>
      </c>
      <c r="D29">
        <f ca="1">SUMIF(Top!$W$5:$W$168,$B29,Top!Y$5:Y$167)+SUMIF(Mid!$W$5:$W$168,$B29,Mid!Y$5:Y$167)</f>
        <v>0</v>
      </c>
      <c r="E29">
        <f ca="1">SUMIF(Top!$W$5:$W$168,$B29,Top!Z$5:Z$167)+SUMIF(Mid!$W$5:$W$168,$B29,Mid!Z$5:Z$167)</f>
        <v>30</v>
      </c>
      <c r="F29">
        <f ca="1">SUMIF(Top!$W$5:$W$168,$B29,Top!AA$5:AA$167)+SUMIF(Mid!$W$5:$W$168,$B29,Mid!AA$5:AA$167)</f>
        <v>0</v>
      </c>
      <c r="G29">
        <f ca="1">SUMIF(Top!$W$5:$W$168,$B29,Top!AB$5:AB$167)+SUMIF(Mid!$W$5:$W$168,$B29,Mid!AB$5:AB$167)</f>
        <v>0</v>
      </c>
      <c r="H29">
        <f ca="1">SUMIF(Top!$W$5:$W$168,$B29,Top!AC$5:AC$167)+SUMIF(Mid!$W$5:$W$168,$B29,Mid!AC$5:AC$167)</f>
        <v>0</v>
      </c>
      <c r="I29">
        <f ca="1">SUMIF(Top!$W$5:$W$168,$B29,Top!AD$5:AD$167)+SUMIF(Mid!$W$5:$W$168,$B29,Mid!AD$5:AD$167)</f>
        <v>0</v>
      </c>
      <c r="J29">
        <f ca="1">SUMIF(Top!$W$5:$W$168,$B29,Top!AE$5:AE$167)+SUMIF(Mid!$W$5:$W$168,$B29,Mid!AE$5:AE$167)</f>
        <v>0</v>
      </c>
      <c r="K29">
        <f ca="1">SUMIF(Top!$W$5:$W$168,$B29,Top!AF$5:AF$167)+SUMIF(Mid!$W$5:$W$168,$B29,Mid!AF$5:AF$167)</f>
        <v>0</v>
      </c>
      <c r="L29">
        <f ca="1">SUMIF(Top!$W$5:$W$168,$B29,Top!AG$5:AG$167)+SUMIF(Mid!$W$5:$W$168,$B29,Mid!AG$5:AG$167)</f>
        <v>0</v>
      </c>
      <c r="M29">
        <f ca="1">SUMIF(Top!$W$5:$W$168,$B29,Top!AH$5:AH$167)+SUMIF(Mid!$W$5:$W$168,$B29,Mid!AH$5:AH$167)</f>
        <v>0</v>
      </c>
      <c r="N29">
        <f ca="1">SUMIF(Top!$W$5:$W$168,$B29,Top!AI$5:AI$167)+SUMIF(Mid!$W$5:$W$168,$B29,Mid!AI$5:AI$167)</f>
        <v>0</v>
      </c>
      <c r="O29">
        <f ca="1">SUMIF(Top!$W$5:$W$168,$B29,Top!AJ$5:AJ$167)+SUMIF(Mid!$W$5:$W$168,$B29,Mid!AJ$5:AJ$167)</f>
        <v>0</v>
      </c>
      <c r="P29">
        <f ca="1">SUMIF(Top!$W$5:$W$168,$B29,Top!AK$5:AK$167)+SUMIF(Mid!$W$5:$W$168,$B29,Mid!AK$5:AK$167)</f>
        <v>0</v>
      </c>
      <c r="Q29">
        <f t="shared" ca="1" si="0"/>
        <v>38</v>
      </c>
      <c r="R29" s="17">
        <f t="shared" ca="1" si="1"/>
        <v>19</v>
      </c>
    </row>
    <row r="30" spans="2:23" x14ac:dyDescent="0.25">
      <c r="B30" t="s">
        <v>20</v>
      </c>
      <c r="C30">
        <f ca="1">SUMIF(Top!$W$5:$W$168,$B30,Top!X$5:X$167)+SUMIF(Mid!$W$5:$W$168,$B30,Mid!X$5:X$167)</f>
        <v>0</v>
      </c>
      <c r="D30">
        <f ca="1">SUMIF(Top!$W$5:$W$168,$B30,Top!Y$5:Y$167)+SUMIF(Mid!$W$5:$W$168,$B30,Mid!Y$5:Y$167)</f>
        <v>0</v>
      </c>
      <c r="E30">
        <f ca="1">SUMIF(Top!$W$5:$W$168,$B30,Top!Z$5:Z$167)+SUMIF(Mid!$W$5:$W$168,$B30,Mid!Z$5:Z$167)</f>
        <v>0</v>
      </c>
      <c r="F30">
        <f ca="1">SUMIF(Top!$W$5:$W$168,$B30,Top!AA$5:AA$167)+SUMIF(Mid!$W$5:$W$168,$B30,Mid!AA$5:AA$167)</f>
        <v>30</v>
      </c>
      <c r="G30">
        <f ca="1">SUMIF(Top!$W$5:$W$168,$B30,Top!AB$5:AB$167)+SUMIF(Mid!$W$5:$W$168,$B30,Mid!AB$5:AB$167)</f>
        <v>0</v>
      </c>
      <c r="H30">
        <f ca="1">SUMIF(Top!$W$5:$W$168,$B30,Top!AC$5:AC$167)+SUMIF(Mid!$W$5:$W$168,$B30,Mid!AC$5:AC$167)</f>
        <v>0</v>
      </c>
      <c r="I30">
        <f ca="1">SUMIF(Top!$W$5:$W$168,$B30,Top!AD$5:AD$167)+SUMIF(Mid!$W$5:$W$168,$B30,Mid!AD$5:AD$167)</f>
        <v>0</v>
      </c>
      <c r="J30">
        <f ca="1">SUMIF(Top!$W$5:$W$168,$B30,Top!AE$5:AE$167)+SUMIF(Mid!$W$5:$W$168,$B30,Mid!AE$5:AE$167)</f>
        <v>0</v>
      </c>
      <c r="K30">
        <f ca="1">SUMIF(Top!$W$5:$W$168,$B30,Top!AF$5:AF$167)+SUMIF(Mid!$W$5:$W$168,$B30,Mid!AF$5:AF$167)</f>
        <v>0</v>
      </c>
      <c r="L30">
        <f ca="1">SUMIF(Top!$W$5:$W$168,$B30,Top!AG$5:AG$167)+SUMIF(Mid!$W$5:$W$168,$B30,Mid!AG$5:AG$167)</f>
        <v>0</v>
      </c>
      <c r="M30">
        <f ca="1">SUMIF(Top!$W$5:$W$168,$B30,Top!AH$5:AH$167)+SUMIF(Mid!$W$5:$W$168,$B30,Mid!AH$5:AH$167)</f>
        <v>0</v>
      </c>
      <c r="N30">
        <f ca="1">SUMIF(Top!$W$5:$W$168,$B30,Top!AI$5:AI$167)+SUMIF(Mid!$W$5:$W$168,$B30,Mid!AI$5:AI$167)</f>
        <v>0</v>
      </c>
      <c r="O30">
        <f ca="1">SUMIF(Top!$W$5:$W$168,$B30,Top!AJ$5:AJ$167)+SUMIF(Mid!$W$5:$W$168,$B30,Mid!AJ$5:AJ$167)</f>
        <v>0</v>
      </c>
      <c r="P30">
        <f ca="1">SUMIF(Top!$W$5:$W$168,$B30,Top!AK$5:AK$167)+SUMIF(Mid!$W$5:$W$168,$B30,Mid!AK$5:AK$167)</f>
        <v>0</v>
      </c>
      <c r="Q30">
        <f t="shared" ca="1" si="0"/>
        <v>30</v>
      </c>
      <c r="R30" s="17">
        <f t="shared" ca="1" si="1"/>
        <v>30</v>
      </c>
    </row>
    <row r="31" spans="2:23" x14ac:dyDescent="0.25">
      <c r="B31" t="s">
        <v>310</v>
      </c>
      <c r="C31">
        <f ca="1">SUMIF(Top!$W$5:$W$168,$B31,Top!X$5:X$167)+SUMIF(Mid!$W$5:$W$168,$B31,Mid!X$5:X$167)</f>
        <v>0</v>
      </c>
      <c r="D31">
        <f ca="1">SUMIF(Top!$W$5:$W$168,$B31,Top!Y$5:Y$167)+SUMIF(Mid!$W$5:$W$168,$B31,Mid!Y$5:Y$167)</f>
        <v>36</v>
      </c>
      <c r="E31">
        <f ca="1">SUMIF(Top!$W$5:$W$168,$B31,Top!Z$5:Z$167)+SUMIF(Mid!$W$5:$W$168,$B31,Mid!Z$5:Z$167)</f>
        <v>0</v>
      </c>
      <c r="F31">
        <f ca="1">SUMIF(Top!$W$5:$W$168,$B31,Top!AA$5:AA$167)+SUMIF(Mid!$W$5:$W$168,$B31,Mid!AA$5:AA$167)</f>
        <v>22</v>
      </c>
      <c r="G31">
        <f ca="1">SUMIF(Top!$W$5:$W$168,$B31,Top!AB$5:AB$167)+SUMIF(Mid!$W$5:$W$168,$B31,Mid!AB$5:AB$167)</f>
        <v>0</v>
      </c>
      <c r="H31">
        <f ca="1">SUMIF(Top!$W$5:$W$168,$B31,Top!AC$5:AC$167)+SUMIF(Mid!$W$5:$W$168,$B31,Mid!AC$5:AC$167)</f>
        <v>0</v>
      </c>
      <c r="I31">
        <f ca="1">SUMIF(Top!$W$5:$W$168,$B31,Top!AD$5:AD$167)+SUMIF(Mid!$W$5:$W$168,$B31,Mid!AD$5:AD$167)</f>
        <v>0</v>
      </c>
      <c r="J31">
        <f ca="1">SUMIF(Top!$W$5:$W$168,$B31,Top!AE$5:AE$167)+SUMIF(Mid!$W$5:$W$168,$B31,Mid!AE$5:AE$167)</f>
        <v>0</v>
      </c>
      <c r="K31">
        <f ca="1">SUMIF(Top!$W$5:$W$168,$B31,Top!AF$5:AF$167)+SUMIF(Mid!$W$5:$W$168,$B31,Mid!AF$5:AF$167)</f>
        <v>0</v>
      </c>
      <c r="L31">
        <f ca="1">SUMIF(Top!$W$5:$W$168,$B31,Top!AG$5:AG$167)+SUMIF(Mid!$W$5:$W$168,$B31,Mid!AG$5:AG$167)</f>
        <v>0</v>
      </c>
      <c r="M31">
        <f ca="1">SUMIF(Top!$W$5:$W$168,$B31,Top!AH$5:AH$167)+SUMIF(Mid!$W$5:$W$168,$B31,Mid!AH$5:AH$167)</f>
        <v>0</v>
      </c>
      <c r="N31">
        <f ca="1">SUMIF(Top!$W$5:$W$168,$B31,Top!AI$5:AI$167)+SUMIF(Mid!$W$5:$W$168,$B31,Mid!AI$5:AI$167)</f>
        <v>0</v>
      </c>
      <c r="O31">
        <f ca="1">SUMIF(Top!$W$5:$W$168,$B31,Top!AJ$5:AJ$167)+SUMIF(Mid!$W$5:$W$168,$B31,Mid!AJ$5:AJ$167)</f>
        <v>0</v>
      </c>
      <c r="P31">
        <f ca="1">SUMIF(Top!$W$5:$W$168,$B31,Top!AK$5:AK$167)+SUMIF(Mid!$W$5:$W$168,$B31,Mid!AK$5:AK$167)</f>
        <v>0</v>
      </c>
      <c r="Q31">
        <f t="shared" ca="1" si="0"/>
        <v>58</v>
      </c>
      <c r="R31" s="17">
        <f t="shared" ca="1" si="1"/>
        <v>29</v>
      </c>
    </row>
    <row r="32" spans="2:23" x14ac:dyDescent="0.25">
      <c r="B32" t="s">
        <v>21</v>
      </c>
      <c r="C32">
        <f ca="1">SUMIF(Top!$W$5:$W$168,$B32,Top!X$5:X$167)+SUMIF(Mid!$W$5:$W$168,$B32,Mid!X$5:X$167)</f>
        <v>29</v>
      </c>
      <c r="D32">
        <f ca="1">SUMIF(Top!$W$5:$W$168,$B32,Top!Y$5:Y$167)+SUMIF(Mid!$W$5:$W$168,$B32,Mid!Y$5:Y$167)</f>
        <v>0</v>
      </c>
      <c r="E32">
        <f ca="1">SUMIF(Top!$W$5:$W$168,$B32,Top!Z$5:Z$167)+SUMIF(Mid!$W$5:$W$168,$B32,Mid!Z$5:Z$167)</f>
        <v>0</v>
      </c>
      <c r="F32">
        <f ca="1">SUMIF(Top!$W$5:$W$168,$B32,Top!AA$5:AA$167)+SUMIF(Mid!$W$5:$W$168,$B32,Mid!AA$5:AA$167)</f>
        <v>28</v>
      </c>
      <c r="G32">
        <f ca="1">SUMIF(Top!$W$5:$W$168,$B32,Top!AB$5:AB$167)+SUMIF(Mid!$W$5:$W$168,$B32,Mid!AB$5:AB$167)</f>
        <v>0</v>
      </c>
      <c r="H32">
        <f ca="1">SUMIF(Top!$W$5:$W$168,$B32,Top!AC$5:AC$167)+SUMIF(Mid!$W$5:$W$168,$B32,Mid!AC$5:AC$167)</f>
        <v>0</v>
      </c>
      <c r="I32">
        <f ca="1">SUMIF(Top!$W$5:$W$168,$B32,Top!AD$5:AD$167)+SUMIF(Mid!$W$5:$W$168,$B32,Mid!AD$5:AD$167)</f>
        <v>0</v>
      </c>
      <c r="J32">
        <f ca="1">SUMIF(Top!$W$5:$W$168,$B32,Top!AE$5:AE$167)+SUMIF(Mid!$W$5:$W$168,$B32,Mid!AE$5:AE$167)</f>
        <v>0</v>
      </c>
      <c r="K32">
        <f ca="1">SUMIF(Top!$W$5:$W$168,$B32,Top!AF$5:AF$167)+SUMIF(Mid!$W$5:$W$168,$B32,Mid!AF$5:AF$167)</f>
        <v>0</v>
      </c>
      <c r="L32">
        <f ca="1">SUMIF(Top!$W$5:$W$168,$B32,Top!AG$5:AG$167)+SUMIF(Mid!$W$5:$W$168,$B32,Mid!AG$5:AG$167)</f>
        <v>0</v>
      </c>
      <c r="M32">
        <f ca="1">SUMIF(Top!$W$5:$W$168,$B32,Top!AH$5:AH$167)+SUMIF(Mid!$W$5:$W$168,$B32,Mid!AH$5:AH$167)</f>
        <v>0</v>
      </c>
      <c r="N32">
        <f ca="1">SUMIF(Top!$W$5:$W$168,$B32,Top!AI$5:AI$167)+SUMIF(Mid!$W$5:$W$168,$B32,Mid!AI$5:AI$167)</f>
        <v>0</v>
      </c>
      <c r="O32">
        <f ca="1">SUMIF(Top!$W$5:$W$168,$B32,Top!AJ$5:AJ$167)+SUMIF(Mid!$W$5:$W$168,$B32,Mid!AJ$5:AJ$167)</f>
        <v>0</v>
      </c>
      <c r="P32">
        <f ca="1">SUMIF(Top!$W$5:$W$168,$B32,Top!AK$5:AK$167)+SUMIF(Mid!$W$5:$W$168,$B32,Mid!AK$5:AK$167)</f>
        <v>0</v>
      </c>
      <c r="Q32">
        <f t="shared" ca="1" si="0"/>
        <v>57</v>
      </c>
      <c r="R32" s="17">
        <f t="shared" ca="1" si="1"/>
        <v>28.5</v>
      </c>
    </row>
    <row r="33" spans="2:18" x14ac:dyDescent="0.25">
      <c r="B33" t="s">
        <v>27</v>
      </c>
      <c r="C33">
        <f ca="1">SUMIF(Top!$W$5:$W$168,$B33,Top!X$5:X$167)+SUMIF(Mid!$W$5:$W$168,$B33,Mid!X$5:X$167)</f>
        <v>0</v>
      </c>
      <c r="D33">
        <f ca="1">SUMIF(Top!$W$5:$W$168,$B33,Top!Y$5:Y$167)+SUMIF(Mid!$W$5:$W$168,$B33,Mid!Y$5:Y$167)</f>
        <v>38</v>
      </c>
      <c r="E33">
        <f ca="1">SUMIF(Top!$W$5:$W$168,$B33,Top!Z$5:Z$167)+SUMIF(Mid!$W$5:$W$168,$B33,Mid!Z$5:Z$167)</f>
        <v>0</v>
      </c>
      <c r="F33">
        <f ca="1">SUMIF(Top!$W$5:$W$168,$B33,Top!AA$5:AA$167)+SUMIF(Mid!$W$5:$W$168,$B33,Mid!AA$5:AA$167)</f>
        <v>18</v>
      </c>
      <c r="G33">
        <f ca="1">SUMIF(Top!$W$5:$W$168,$B33,Top!AB$5:AB$167)+SUMIF(Mid!$W$5:$W$168,$B33,Mid!AB$5:AB$167)</f>
        <v>0</v>
      </c>
      <c r="H33">
        <f ca="1">SUMIF(Top!$W$5:$W$168,$B33,Top!AC$5:AC$167)+SUMIF(Mid!$W$5:$W$168,$B33,Mid!AC$5:AC$167)</f>
        <v>0</v>
      </c>
      <c r="I33">
        <f ca="1">SUMIF(Top!$W$5:$W$168,$B33,Top!AD$5:AD$167)+SUMIF(Mid!$W$5:$W$168,$B33,Mid!AD$5:AD$167)</f>
        <v>0</v>
      </c>
      <c r="J33">
        <f ca="1">SUMIF(Top!$W$5:$W$168,$B33,Top!AE$5:AE$167)+SUMIF(Mid!$W$5:$W$168,$B33,Mid!AE$5:AE$167)</f>
        <v>0</v>
      </c>
      <c r="K33">
        <f ca="1">SUMIF(Top!$W$5:$W$168,$B33,Top!AF$5:AF$167)+SUMIF(Mid!$W$5:$W$168,$B33,Mid!AF$5:AF$167)</f>
        <v>0</v>
      </c>
      <c r="L33">
        <f ca="1">SUMIF(Top!$W$5:$W$168,$B33,Top!AG$5:AG$167)+SUMIF(Mid!$W$5:$W$168,$B33,Mid!AG$5:AG$167)</f>
        <v>0</v>
      </c>
      <c r="M33">
        <f ca="1">SUMIF(Top!$W$5:$W$168,$B33,Top!AH$5:AH$167)+SUMIF(Mid!$W$5:$W$168,$B33,Mid!AH$5:AH$167)</f>
        <v>0</v>
      </c>
      <c r="N33">
        <f ca="1">SUMIF(Top!$W$5:$W$168,$B33,Top!AI$5:AI$167)+SUMIF(Mid!$W$5:$W$168,$B33,Mid!AI$5:AI$167)</f>
        <v>0</v>
      </c>
      <c r="O33">
        <f ca="1">SUMIF(Top!$W$5:$W$168,$B33,Top!AJ$5:AJ$167)+SUMIF(Mid!$W$5:$W$168,$B33,Mid!AJ$5:AJ$167)</f>
        <v>0</v>
      </c>
      <c r="P33">
        <f ca="1">SUMIF(Top!$W$5:$W$168,$B33,Top!AK$5:AK$167)+SUMIF(Mid!$W$5:$W$168,$B33,Mid!AK$5:AK$167)</f>
        <v>0</v>
      </c>
      <c r="Q33">
        <f t="shared" ca="1" si="0"/>
        <v>56</v>
      </c>
      <c r="R33" s="17">
        <f t="shared" ca="1" si="1"/>
        <v>28</v>
      </c>
    </row>
    <row r="34" spans="2:18" x14ac:dyDescent="0.25">
      <c r="B34" t="s">
        <v>23</v>
      </c>
      <c r="C34">
        <f ca="1">SUMIF(Top!$W$5:$W$168,$B34,Top!X$5:X$167)+SUMIF(Mid!$W$5:$W$168,$B34,Mid!X$5:X$167)</f>
        <v>36</v>
      </c>
      <c r="D34">
        <f ca="1">SUMIF(Top!$W$5:$W$168,$B34,Top!Y$5:Y$167)+SUMIF(Mid!$W$5:$W$168,$B34,Mid!Y$5:Y$167)</f>
        <v>0</v>
      </c>
      <c r="E34">
        <f ca="1">SUMIF(Top!$W$5:$W$168,$B34,Top!Z$5:Z$167)+SUMIF(Mid!$W$5:$W$168,$B34,Mid!Z$5:Z$167)</f>
        <v>20</v>
      </c>
      <c r="F34">
        <f ca="1">SUMIF(Top!$W$5:$W$168,$B34,Top!AA$5:AA$167)+SUMIF(Mid!$W$5:$W$168,$B34,Mid!AA$5:AA$167)</f>
        <v>24</v>
      </c>
      <c r="G34">
        <f ca="1">SUMIF(Top!$W$5:$W$168,$B34,Top!AB$5:AB$167)+SUMIF(Mid!$W$5:$W$168,$B34,Mid!AB$5:AB$167)</f>
        <v>0</v>
      </c>
      <c r="H34">
        <f ca="1">SUMIF(Top!$W$5:$W$168,$B34,Top!AC$5:AC$167)+SUMIF(Mid!$W$5:$W$168,$B34,Mid!AC$5:AC$167)</f>
        <v>0</v>
      </c>
      <c r="I34">
        <f ca="1">SUMIF(Top!$W$5:$W$168,$B34,Top!AD$5:AD$167)+SUMIF(Mid!$W$5:$W$168,$B34,Mid!AD$5:AD$167)</f>
        <v>0</v>
      </c>
      <c r="J34">
        <f ca="1">SUMIF(Top!$W$5:$W$168,$B34,Top!AE$5:AE$167)+SUMIF(Mid!$W$5:$W$168,$B34,Mid!AE$5:AE$167)</f>
        <v>0</v>
      </c>
      <c r="K34">
        <f ca="1">SUMIF(Top!$W$5:$W$168,$B34,Top!AF$5:AF$167)+SUMIF(Mid!$W$5:$W$168,$B34,Mid!AF$5:AF$167)</f>
        <v>0</v>
      </c>
      <c r="L34">
        <f ca="1">SUMIF(Top!$W$5:$W$168,$B34,Top!AG$5:AG$167)+SUMIF(Mid!$W$5:$W$168,$B34,Mid!AG$5:AG$167)</f>
        <v>0</v>
      </c>
      <c r="M34">
        <f ca="1">SUMIF(Top!$W$5:$W$168,$B34,Top!AH$5:AH$167)+SUMIF(Mid!$W$5:$W$168,$B34,Mid!AH$5:AH$167)</f>
        <v>0</v>
      </c>
      <c r="N34">
        <f ca="1">SUMIF(Top!$W$5:$W$168,$B34,Top!AI$5:AI$167)+SUMIF(Mid!$W$5:$W$168,$B34,Mid!AI$5:AI$167)</f>
        <v>0</v>
      </c>
      <c r="O34">
        <f ca="1">SUMIF(Top!$W$5:$W$168,$B34,Top!AJ$5:AJ$167)+SUMIF(Mid!$W$5:$W$168,$B34,Mid!AJ$5:AJ$167)</f>
        <v>0</v>
      </c>
      <c r="P34">
        <f ca="1">SUMIF(Top!$W$5:$W$168,$B34,Top!AK$5:AK$167)+SUMIF(Mid!$W$5:$W$168,$B34,Mid!AK$5:AK$167)</f>
        <v>0</v>
      </c>
      <c r="Q34">
        <f t="shared" ca="1" si="0"/>
        <v>80</v>
      </c>
      <c r="R34" s="17">
        <f t="shared" ca="1" si="1"/>
        <v>26.666666666666668</v>
      </c>
    </row>
    <row r="35" spans="2:18" x14ac:dyDescent="0.25">
      <c r="B35" t="s">
        <v>38</v>
      </c>
      <c r="C35">
        <f ca="1">SUMIF(Top!$W$5:$W$168,$B35,Top!X$5:X$167)+SUMIF(Mid!$W$5:$W$168,$B35,Mid!X$5:X$167)</f>
        <v>33</v>
      </c>
      <c r="D35">
        <f ca="1">SUMIF(Top!$W$5:$W$168,$B35,Top!Y$5:Y$167)+SUMIF(Mid!$W$5:$W$168,$B35,Mid!Y$5:Y$167)</f>
        <v>31</v>
      </c>
      <c r="E35">
        <f ca="1">SUMIF(Top!$W$5:$W$168,$B35,Top!Z$5:Z$167)+SUMIF(Mid!$W$5:$W$168,$B35,Mid!Z$5:Z$167)</f>
        <v>15</v>
      </c>
      <c r="F35">
        <f ca="1">SUMIF(Top!$W$5:$W$168,$B35,Top!AA$5:AA$167)+SUMIF(Mid!$W$5:$W$168,$B35,Mid!AA$5:AA$167)</f>
        <v>0</v>
      </c>
      <c r="G35">
        <f ca="1">SUMIF(Top!$W$5:$W$168,$B35,Top!AB$5:AB$167)+SUMIF(Mid!$W$5:$W$168,$B35,Mid!AB$5:AB$167)</f>
        <v>0</v>
      </c>
      <c r="H35">
        <f ca="1">SUMIF(Top!$W$5:$W$168,$B35,Top!AC$5:AC$167)+SUMIF(Mid!$W$5:$W$168,$B35,Mid!AC$5:AC$167)</f>
        <v>0</v>
      </c>
      <c r="I35">
        <f ca="1">SUMIF(Top!$W$5:$W$168,$B35,Top!AD$5:AD$167)+SUMIF(Mid!$W$5:$W$168,$B35,Mid!AD$5:AD$167)</f>
        <v>0</v>
      </c>
      <c r="J35">
        <f ca="1">SUMIF(Top!$W$5:$W$168,$B35,Top!AE$5:AE$167)+SUMIF(Mid!$W$5:$W$168,$B35,Mid!AE$5:AE$167)</f>
        <v>0</v>
      </c>
      <c r="K35">
        <f ca="1">SUMIF(Top!$W$5:$W$168,$B35,Top!AF$5:AF$167)+SUMIF(Mid!$W$5:$W$168,$B35,Mid!AF$5:AF$167)</f>
        <v>0</v>
      </c>
      <c r="L35">
        <f ca="1">SUMIF(Top!$W$5:$W$168,$B35,Top!AG$5:AG$167)+SUMIF(Mid!$W$5:$W$168,$B35,Mid!AG$5:AG$167)</f>
        <v>0</v>
      </c>
      <c r="M35">
        <f ca="1">SUMIF(Top!$W$5:$W$168,$B35,Top!AH$5:AH$167)+SUMIF(Mid!$W$5:$W$168,$B35,Mid!AH$5:AH$167)</f>
        <v>0</v>
      </c>
      <c r="N35">
        <f ca="1">SUMIF(Top!$W$5:$W$168,$B35,Top!AI$5:AI$167)+SUMIF(Mid!$W$5:$W$168,$B35,Mid!AI$5:AI$167)</f>
        <v>0</v>
      </c>
      <c r="O35">
        <f ca="1">SUMIF(Top!$W$5:$W$168,$B35,Top!AJ$5:AJ$167)+SUMIF(Mid!$W$5:$W$168,$B35,Mid!AJ$5:AJ$167)</f>
        <v>0</v>
      </c>
      <c r="P35">
        <f ca="1">SUMIF(Top!$W$5:$W$168,$B35,Top!AK$5:AK$167)+SUMIF(Mid!$W$5:$W$168,$B35,Mid!AK$5:AK$167)</f>
        <v>0</v>
      </c>
      <c r="Q35">
        <f t="shared" ca="1" si="0"/>
        <v>79</v>
      </c>
      <c r="R35" s="17">
        <f t="shared" ca="1" si="1"/>
        <v>26.333333333333332</v>
      </c>
    </row>
    <row r="36" spans="2:18" x14ac:dyDescent="0.25">
      <c r="B36" t="s">
        <v>35</v>
      </c>
      <c r="C36">
        <f ca="1">SUMIF(Top!$W$5:$W$168,$B36,Top!X$5:X$167)+SUMIF(Mid!$W$5:$W$168,$B36,Mid!X$5:X$167)</f>
        <v>26</v>
      </c>
      <c r="D36">
        <f ca="1">SUMIF(Top!$W$5:$W$168,$B36,Top!Y$5:Y$167)+SUMIF(Mid!$W$5:$W$168,$B36,Mid!Y$5:Y$167)</f>
        <v>0</v>
      </c>
      <c r="E36">
        <f ca="1">SUMIF(Top!$W$5:$W$168,$B36,Top!Z$5:Z$167)+SUMIF(Mid!$W$5:$W$168,$B36,Mid!Z$5:Z$167)</f>
        <v>26</v>
      </c>
      <c r="F36">
        <f ca="1">SUMIF(Top!$W$5:$W$168,$B36,Top!AA$5:AA$167)+SUMIF(Mid!$W$5:$W$168,$B36,Mid!AA$5:AA$167)</f>
        <v>0</v>
      </c>
      <c r="G36">
        <f ca="1">SUMIF(Top!$W$5:$W$168,$B36,Top!AB$5:AB$167)+SUMIF(Mid!$W$5:$W$168,$B36,Mid!AB$5:AB$167)</f>
        <v>0</v>
      </c>
      <c r="H36">
        <f ca="1">SUMIF(Top!$W$5:$W$168,$B36,Top!AC$5:AC$167)+SUMIF(Mid!$W$5:$W$168,$B36,Mid!AC$5:AC$167)</f>
        <v>0</v>
      </c>
      <c r="I36">
        <f ca="1">SUMIF(Top!$W$5:$W$168,$B36,Top!AD$5:AD$167)+SUMIF(Mid!$W$5:$W$168,$B36,Mid!AD$5:AD$167)</f>
        <v>0</v>
      </c>
      <c r="J36">
        <f ca="1">SUMIF(Top!$W$5:$W$168,$B36,Top!AE$5:AE$167)+SUMIF(Mid!$W$5:$W$168,$B36,Mid!AE$5:AE$167)</f>
        <v>0</v>
      </c>
      <c r="K36">
        <f ca="1">SUMIF(Top!$W$5:$W$168,$B36,Top!AF$5:AF$167)+SUMIF(Mid!$W$5:$W$168,$B36,Mid!AF$5:AF$167)</f>
        <v>0</v>
      </c>
      <c r="L36">
        <f ca="1">SUMIF(Top!$W$5:$W$168,$B36,Top!AG$5:AG$167)+SUMIF(Mid!$W$5:$W$168,$B36,Mid!AG$5:AG$167)</f>
        <v>0</v>
      </c>
      <c r="M36">
        <f ca="1">SUMIF(Top!$W$5:$W$168,$B36,Top!AH$5:AH$167)+SUMIF(Mid!$W$5:$W$168,$B36,Mid!AH$5:AH$167)</f>
        <v>0</v>
      </c>
      <c r="N36">
        <f ca="1">SUMIF(Top!$W$5:$W$168,$B36,Top!AI$5:AI$167)+SUMIF(Mid!$W$5:$W$168,$B36,Mid!AI$5:AI$167)</f>
        <v>0</v>
      </c>
      <c r="O36">
        <f ca="1">SUMIF(Top!$W$5:$W$168,$B36,Top!AJ$5:AJ$167)+SUMIF(Mid!$W$5:$W$168,$B36,Mid!AJ$5:AJ$167)</f>
        <v>0</v>
      </c>
      <c r="P36">
        <f ca="1">SUMIF(Top!$W$5:$W$168,$B36,Top!AK$5:AK$167)+SUMIF(Mid!$W$5:$W$168,$B36,Mid!AK$5:AK$167)</f>
        <v>0</v>
      </c>
      <c r="Q36">
        <f t="shared" ca="1" si="0"/>
        <v>52</v>
      </c>
      <c r="R36" s="17">
        <f t="shared" ca="1" si="1"/>
        <v>26</v>
      </c>
    </row>
    <row r="37" spans="2:18" x14ac:dyDescent="0.25">
      <c r="B37" t="s">
        <v>18</v>
      </c>
      <c r="C37">
        <f ca="1">SUMIF(Top!$W$5:$W$168,$B37,Top!X$5:X$167)+SUMIF(Mid!$W$5:$W$168,$B37,Mid!X$5:X$167)</f>
        <v>17</v>
      </c>
      <c r="D37">
        <f ca="1">SUMIF(Top!$W$5:$W$168,$B37,Top!Y$5:Y$167)+SUMIF(Mid!$W$5:$W$168,$B37,Mid!Y$5:Y$167)</f>
        <v>0</v>
      </c>
      <c r="E37">
        <f ca="1">SUMIF(Top!$W$5:$W$168,$B37,Top!Z$5:Z$167)+SUMIF(Mid!$W$5:$W$168,$B37,Mid!Z$5:Z$167)</f>
        <v>0</v>
      </c>
      <c r="F37">
        <f ca="1">SUMIF(Top!$W$5:$W$168,$B37,Top!AA$5:AA$167)+SUMIF(Mid!$W$5:$W$168,$B37,Mid!AA$5:AA$167)</f>
        <v>34</v>
      </c>
      <c r="G37">
        <f ca="1">SUMIF(Top!$W$5:$W$168,$B37,Top!AB$5:AB$167)+SUMIF(Mid!$W$5:$W$168,$B37,Mid!AB$5:AB$167)</f>
        <v>0</v>
      </c>
      <c r="H37">
        <f ca="1">SUMIF(Top!$W$5:$W$168,$B37,Top!AC$5:AC$167)+SUMIF(Mid!$W$5:$W$168,$B37,Mid!AC$5:AC$167)</f>
        <v>0</v>
      </c>
      <c r="I37">
        <f ca="1">SUMIF(Top!$W$5:$W$168,$B37,Top!AD$5:AD$167)+SUMIF(Mid!$W$5:$W$168,$B37,Mid!AD$5:AD$167)</f>
        <v>0</v>
      </c>
      <c r="J37">
        <f ca="1">SUMIF(Top!$W$5:$W$168,$B37,Top!AE$5:AE$167)+SUMIF(Mid!$W$5:$W$168,$B37,Mid!AE$5:AE$167)</f>
        <v>0</v>
      </c>
      <c r="K37">
        <f ca="1">SUMIF(Top!$W$5:$W$168,$B37,Top!AF$5:AF$167)+SUMIF(Mid!$W$5:$W$168,$B37,Mid!AF$5:AF$167)</f>
        <v>0</v>
      </c>
      <c r="L37">
        <f ca="1">SUMIF(Top!$W$5:$W$168,$B37,Top!AG$5:AG$167)+SUMIF(Mid!$W$5:$W$168,$B37,Mid!AG$5:AG$167)</f>
        <v>0</v>
      </c>
      <c r="M37">
        <f ca="1">SUMIF(Top!$W$5:$W$168,$B37,Top!AH$5:AH$167)+SUMIF(Mid!$W$5:$W$168,$B37,Mid!AH$5:AH$167)</f>
        <v>0</v>
      </c>
      <c r="N37">
        <f ca="1">SUMIF(Top!$W$5:$W$168,$B37,Top!AI$5:AI$167)+SUMIF(Mid!$W$5:$W$168,$B37,Mid!AI$5:AI$167)</f>
        <v>0</v>
      </c>
      <c r="O37">
        <f ca="1">SUMIF(Top!$W$5:$W$168,$B37,Top!AJ$5:AJ$167)+SUMIF(Mid!$W$5:$W$168,$B37,Mid!AJ$5:AJ$167)</f>
        <v>0</v>
      </c>
      <c r="P37">
        <f ca="1">SUMIF(Top!$W$5:$W$168,$B37,Top!AK$5:AK$167)+SUMIF(Mid!$W$5:$W$168,$B37,Mid!AK$5:AK$167)</f>
        <v>0</v>
      </c>
      <c r="Q37">
        <f t="shared" ca="1" si="0"/>
        <v>51</v>
      </c>
      <c r="R37" s="17">
        <f t="shared" ca="1" si="1"/>
        <v>25.5</v>
      </c>
    </row>
    <row r="38" spans="2:18" x14ac:dyDescent="0.25">
      <c r="B38" t="s">
        <v>34</v>
      </c>
      <c r="C38">
        <f ca="1">SUMIF(Top!$W$5:$W$168,$B38,Top!X$5:X$167)+SUMIF(Mid!$W$5:$W$168,$B38,Mid!X$5:X$167)</f>
        <v>22</v>
      </c>
      <c r="D38">
        <f ca="1">SUMIF(Top!$W$5:$W$168,$B38,Top!Y$5:Y$167)+SUMIF(Mid!$W$5:$W$168,$B38,Mid!Y$5:Y$167)</f>
        <v>0</v>
      </c>
      <c r="E38">
        <f ca="1">SUMIF(Top!$W$5:$W$168,$B38,Top!Z$5:Z$167)+SUMIF(Mid!$W$5:$W$168,$B38,Mid!Z$5:Z$167)</f>
        <v>28</v>
      </c>
      <c r="F38">
        <f ca="1">SUMIF(Top!$W$5:$W$168,$B38,Top!AA$5:AA$167)+SUMIF(Mid!$W$5:$W$168,$B38,Mid!AA$5:AA$167)</f>
        <v>0</v>
      </c>
      <c r="G38">
        <f ca="1">SUMIF(Top!$W$5:$W$168,$B38,Top!AB$5:AB$167)+SUMIF(Mid!$W$5:$W$168,$B38,Mid!AB$5:AB$167)</f>
        <v>0</v>
      </c>
      <c r="H38">
        <f ca="1">SUMIF(Top!$W$5:$W$168,$B38,Top!AC$5:AC$167)+SUMIF(Mid!$W$5:$W$168,$B38,Mid!AC$5:AC$167)</f>
        <v>0</v>
      </c>
      <c r="I38">
        <f ca="1">SUMIF(Top!$W$5:$W$168,$B38,Top!AD$5:AD$167)+SUMIF(Mid!$W$5:$W$168,$B38,Mid!AD$5:AD$167)</f>
        <v>0</v>
      </c>
      <c r="J38">
        <f ca="1">SUMIF(Top!$W$5:$W$168,$B38,Top!AE$5:AE$167)+SUMIF(Mid!$W$5:$W$168,$B38,Mid!AE$5:AE$167)</f>
        <v>0</v>
      </c>
      <c r="K38">
        <f ca="1">SUMIF(Top!$W$5:$W$168,$B38,Top!AF$5:AF$167)+SUMIF(Mid!$W$5:$W$168,$B38,Mid!AF$5:AF$167)</f>
        <v>0</v>
      </c>
      <c r="L38">
        <f ca="1">SUMIF(Top!$W$5:$W$168,$B38,Top!AG$5:AG$167)+SUMIF(Mid!$W$5:$W$168,$B38,Mid!AG$5:AG$167)</f>
        <v>0</v>
      </c>
      <c r="M38">
        <f ca="1">SUMIF(Top!$W$5:$W$168,$B38,Top!AH$5:AH$167)+SUMIF(Mid!$W$5:$W$168,$B38,Mid!AH$5:AH$167)</f>
        <v>0</v>
      </c>
      <c r="N38">
        <f ca="1">SUMIF(Top!$W$5:$W$168,$B38,Top!AI$5:AI$167)+SUMIF(Mid!$W$5:$W$168,$B38,Mid!AI$5:AI$167)</f>
        <v>0</v>
      </c>
      <c r="O38">
        <f ca="1">SUMIF(Top!$W$5:$W$168,$B38,Top!AJ$5:AJ$167)+SUMIF(Mid!$W$5:$W$168,$B38,Mid!AJ$5:AJ$167)</f>
        <v>0</v>
      </c>
      <c r="P38">
        <f ca="1">SUMIF(Top!$W$5:$W$168,$B38,Top!AK$5:AK$167)+SUMIF(Mid!$W$5:$W$168,$B38,Mid!AK$5:AK$167)</f>
        <v>0</v>
      </c>
      <c r="Q38">
        <f t="shared" ca="1" si="0"/>
        <v>50</v>
      </c>
      <c r="R38" s="17">
        <f t="shared" ca="1" si="1"/>
        <v>25</v>
      </c>
    </row>
    <row r="39" spans="2:18" x14ac:dyDescent="0.25">
      <c r="B39" t="s">
        <v>313</v>
      </c>
      <c r="C39">
        <f ca="1">SUMIF(Top!$W$5:$W$168,$B39,Top!X$5:X$167)+SUMIF(Mid!$W$5:$W$168,$B39,Mid!X$5:X$167)</f>
        <v>16</v>
      </c>
      <c r="D39">
        <f ca="1">SUMIF(Top!$W$5:$W$168,$B39,Top!Y$5:Y$167)+SUMIF(Mid!$W$5:$W$168,$B39,Mid!Y$5:Y$167)</f>
        <v>0</v>
      </c>
      <c r="E39">
        <f ca="1">SUMIF(Top!$W$5:$W$168,$B39,Top!Z$5:Z$167)+SUMIF(Mid!$W$5:$W$168,$B39,Mid!Z$5:Z$167)</f>
        <v>24</v>
      </c>
      <c r="F39">
        <f ca="1">SUMIF(Top!$W$5:$W$168,$B39,Top!AA$5:AA$167)+SUMIF(Mid!$W$5:$W$168,$B39,Mid!AA$5:AA$167)</f>
        <v>0</v>
      </c>
      <c r="G39">
        <f ca="1">SUMIF(Top!$W$5:$W$168,$B39,Top!AB$5:AB$167)+SUMIF(Mid!$W$5:$W$168,$B39,Mid!AB$5:AB$167)</f>
        <v>0</v>
      </c>
      <c r="H39">
        <f ca="1">SUMIF(Top!$W$5:$W$168,$B39,Top!AC$5:AC$167)+SUMIF(Mid!$W$5:$W$168,$B39,Mid!AC$5:AC$167)</f>
        <v>0</v>
      </c>
      <c r="I39">
        <f ca="1">SUMIF(Top!$W$5:$W$168,$B39,Top!AD$5:AD$167)+SUMIF(Mid!$W$5:$W$168,$B39,Mid!AD$5:AD$167)</f>
        <v>0</v>
      </c>
      <c r="J39">
        <f ca="1">SUMIF(Top!$W$5:$W$168,$B39,Top!AE$5:AE$167)+SUMIF(Mid!$W$5:$W$168,$B39,Mid!AE$5:AE$167)</f>
        <v>0</v>
      </c>
      <c r="K39">
        <f ca="1">SUMIF(Top!$W$5:$W$168,$B39,Top!AF$5:AF$167)+SUMIF(Mid!$W$5:$W$168,$B39,Mid!AF$5:AF$167)</f>
        <v>0</v>
      </c>
      <c r="L39">
        <f ca="1">SUMIF(Top!$W$5:$W$168,$B39,Top!AG$5:AG$167)+SUMIF(Mid!$W$5:$W$168,$B39,Mid!AG$5:AG$167)</f>
        <v>0</v>
      </c>
      <c r="M39">
        <f ca="1">SUMIF(Top!$W$5:$W$168,$B39,Top!AH$5:AH$167)+SUMIF(Mid!$W$5:$W$168,$B39,Mid!AH$5:AH$167)</f>
        <v>0</v>
      </c>
      <c r="N39">
        <f ca="1">SUMIF(Top!$W$5:$W$168,$B39,Top!AI$5:AI$167)+SUMIF(Mid!$W$5:$W$168,$B39,Mid!AI$5:AI$167)</f>
        <v>0</v>
      </c>
      <c r="O39">
        <f ca="1">SUMIF(Top!$W$5:$W$168,$B39,Top!AJ$5:AJ$167)+SUMIF(Mid!$W$5:$W$168,$B39,Mid!AJ$5:AJ$167)</f>
        <v>0</v>
      </c>
      <c r="P39">
        <f ca="1">SUMIF(Top!$W$5:$W$168,$B39,Top!AK$5:AK$167)+SUMIF(Mid!$W$5:$W$168,$B39,Mid!AK$5:AK$167)</f>
        <v>0</v>
      </c>
      <c r="Q39">
        <f t="shared" ca="1" si="0"/>
        <v>40</v>
      </c>
      <c r="R39" s="17">
        <f t="shared" ca="1" si="1"/>
        <v>20</v>
      </c>
    </row>
    <row r="40" spans="2:18" x14ac:dyDescent="0.25">
      <c r="B40" t="s">
        <v>46</v>
      </c>
      <c r="C40">
        <f ca="1">SUMIF(Top!$W$5:$W$168,$B40,Top!X$5:X$167)+SUMIF(Mid!$W$5:$W$168,$B40,Mid!X$5:X$167)</f>
        <v>24</v>
      </c>
      <c r="D40">
        <f ca="1">SUMIF(Top!$W$5:$W$168,$B40,Top!Y$5:Y$167)+SUMIF(Mid!$W$5:$W$168,$B40,Mid!Y$5:Y$167)</f>
        <v>0</v>
      </c>
      <c r="E40">
        <f ca="1">SUMIF(Top!$W$5:$W$168,$B40,Top!Z$5:Z$167)+SUMIF(Mid!$W$5:$W$168,$B40,Mid!Z$5:Z$167)</f>
        <v>0</v>
      </c>
      <c r="F40">
        <f ca="1">SUMIF(Top!$W$5:$W$168,$B40,Top!AA$5:AA$167)+SUMIF(Mid!$W$5:$W$168,$B40,Mid!AA$5:AA$167)</f>
        <v>0</v>
      </c>
      <c r="G40">
        <f ca="1">SUMIF(Top!$W$5:$W$168,$B40,Top!AB$5:AB$167)+SUMIF(Mid!$W$5:$W$168,$B40,Mid!AB$5:AB$167)</f>
        <v>0</v>
      </c>
      <c r="H40">
        <f ca="1">SUMIF(Top!$W$5:$W$168,$B40,Top!AC$5:AC$167)+SUMIF(Mid!$W$5:$W$168,$B40,Mid!AC$5:AC$167)</f>
        <v>0</v>
      </c>
      <c r="I40">
        <f ca="1">SUMIF(Top!$W$5:$W$168,$B40,Top!AD$5:AD$167)+SUMIF(Mid!$W$5:$W$168,$B40,Mid!AD$5:AD$167)</f>
        <v>0</v>
      </c>
      <c r="J40">
        <f ca="1">SUMIF(Top!$W$5:$W$168,$B40,Top!AE$5:AE$167)+SUMIF(Mid!$W$5:$W$168,$B40,Mid!AE$5:AE$167)</f>
        <v>0</v>
      </c>
      <c r="K40">
        <f ca="1">SUMIF(Top!$W$5:$W$168,$B40,Top!AF$5:AF$167)+SUMIF(Mid!$W$5:$W$168,$B40,Mid!AF$5:AF$167)</f>
        <v>0</v>
      </c>
      <c r="L40">
        <f ca="1">SUMIF(Top!$W$5:$W$168,$B40,Top!AG$5:AG$167)+SUMIF(Mid!$W$5:$W$168,$B40,Mid!AG$5:AG$167)</f>
        <v>0</v>
      </c>
      <c r="M40">
        <f ca="1">SUMIF(Top!$W$5:$W$168,$B40,Top!AH$5:AH$167)+SUMIF(Mid!$W$5:$W$168,$B40,Mid!AH$5:AH$167)</f>
        <v>0</v>
      </c>
      <c r="N40">
        <f ca="1">SUMIF(Top!$W$5:$W$168,$B40,Top!AI$5:AI$167)+SUMIF(Mid!$W$5:$W$168,$B40,Mid!AI$5:AI$167)</f>
        <v>0</v>
      </c>
      <c r="O40">
        <f ca="1">SUMIF(Top!$W$5:$W$168,$B40,Top!AJ$5:AJ$167)+SUMIF(Mid!$W$5:$W$168,$B40,Mid!AJ$5:AJ$167)</f>
        <v>0</v>
      </c>
      <c r="P40">
        <f ca="1">SUMIF(Top!$W$5:$W$168,$B40,Top!AK$5:AK$167)+SUMIF(Mid!$W$5:$W$168,$B40,Mid!AK$5:AK$167)</f>
        <v>0</v>
      </c>
      <c r="Q40">
        <f t="shared" ca="1" si="0"/>
        <v>24</v>
      </c>
      <c r="R40" s="17">
        <f t="shared" ca="1" si="1"/>
        <v>24</v>
      </c>
    </row>
    <row r="41" spans="2:18" x14ac:dyDescent="0.25">
      <c r="B41" t="s">
        <v>51</v>
      </c>
      <c r="C41">
        <f ca="1">SUMIF(Top!$W$5:$W$168,$B41,Top!X$5:X$167)+SUMIF(Mid!$W$5:$W$168,$B41,Mid!X$5:X$167)</f>
        <v>0</v>
      </c>
      <c r="D41">
        <f ca="1">SUMIF(Top!$W$5:$W$168,$B41,Top!Y$5:Y$167)+SUMIF(Mid!$W$5:$W$168,$B41,Mid!Y$5:Y$167)</f>
        <v>24</v>
      </c>
      <c r="E41">
        <f ca="1">SUMIF(Top!$W$5:$W$168,$B41,Top!Z$5:Z$167)+SUMIF(Mid!$W$5:$W$168,$B41,Mid!Z$5:Z$167)</f>
        <v>0</v>
      </c>
      <c r="F41">
        <f ca="1">SUMIF(Top!$W$5:$W$168,$B41,Top!AA$5:AA$167)+SUMIF(Mid!$W$5:$W$168,$B41,Mid!AA$5:AA$167)</f>
        <v>0</v>
      </c>
      <c r="G41">
        <f ca="1">SUMIF(Top!$W$5:$W$168,$B41,Top!AB$5:AB$167)+SUMIF(Mid!$W$5:$W$168,$B41,Mid!AB$5:AB$167)</f>
        <v>0</v>
      </c>
      <c r="H41">
        <f ca="1">SUMIF(Top!$W$5:$W$168,$B41,Top!AC$5:AC$167)+SUMIF(Mid!$W$5:$W$168,$B41,Mid!AC$5:AC$167)</f>
        <v>0</v>
      </c>
      <c r="I41">
        <f ca="1">SUMIF(Top!$W$5:$W$168,$B41,Top!AD$5:AD$167)+SUMIF(Mid!$W$5:$W$168,$B41,Mid!AD$5:AD$167)</f>
        <v>0</v>
      </c>
      <c r="J41">
        <f ca="1">SUMIF(Top!$W$5:$W$168,$B41,Top!AE$5:AE$167)+SUMIF(Mid!$W$5:$W$168,$B41,Mid!AE$5:AE$167)</f>
        <v>0</v>
      </c>
      <c r="K41">
        <f ca="1">SUMIF(Top!$W$5:$W$168,$B41,Top!AF$5:AF$167)+SUMIF(Mid!$W$5:$W$168,$B41,Mid!AF$5:AF$167)</f>
        <v>0</v>
      </c>
      <c r="L41">
        <f ca="1">SUMIF(Top!$W$5:$W$168,$B41,Top!AG$5:AG$167)+SUMIF(Mid!$W$5:$W$168,$B41,Mid!AG$5:AG$167)</f>
        <v>0</v>
      </c>
      <c r="M41">
        <f ca="1">SUMIF(Top!$W$5:$W$168,$B41,Top!AH$5:AH$167)+SUMIF(Mid!$W$5:$W$168,$B41,Mid!AH$5:AH$167)</f>
        <v>0</v>
      </c>
      <c r="N41">
        <f ca="1">SUMIF(Top!$W$5:$W$168,$B41,Top!AI$5:AI$167)+SUMIF(Mid!$W$5:$W$168,$B41,Mid!AI$5:AI$167)</f>
        <v>0</v>
      </c>
      <c r="O41">
        <f ca="1">SUMIF(Top!$W$5:$W$168,$B41,Top!AJ$5:AJ$167)+SUMIF(Mid!$W$5:$W$168,$B41,Mid!AJ$5:AJ$167)</f>
        <v>0</v>
      </c>
      <c r="P41">
        <f ca="1">SUMIF(Top!$W$5:$W$168,$B41,Top!AK$5:AK$167)+SUMIF(Mid!$W$5:$W$168,$B41,Mid!AK$5:AK$167)</f>
        <v>0</v>
      </c>
      <c r="Q41">
        <f t="shared" ca="1" si="0"/>
        <v>24</v>
      </c>
      <c r="R41" s="17">
        <f t="shared" ca="1" si="1"/>
        <v>24</v>
      </c>
    </row>
    <row r="42" spans="2:18" x14ac:dyDescent="0.25">
      <c r="B42" t="s">
        <v>33</v>
      </c>
      <c r="C42">
        <f ca="1">SUMIF(Top!$W$5:$W$168,$B42,Top!X$5:X$167)+SUMIF(Mid!$W$5:$W$168,$B42,Mid!X$5:X$167)</f>
        <v>14</v>
      </c>
      <c r="D42">
        <f ca="1">SUMIF(Top!$W$5:$W$168,$B42,Top!Y$5:Y$167)+SUMIF(Mid!$W$5:$W$168,$B42,Mid!Y$5:Y$167)</f>
        <v>0</v>
      </c>
      <c r="E42">
        <f ca="1">SUMIF(Top!$W$5:$W$168,$B42,Top!Z$5:Z$167)+SUMIF(Mid!$W$5:$W$168,$B42,Mid!Z$5:Z$167)</f>
        <v>32</v>
      </c>
      <c r="F42">
        <f ca="1">SUMIF(Top!$W$5:$W$168,$B42,Top!AA$5:AA$167)+SUMIF(Mid!$W$5:$W$168,$B42,Mid!AA$5:AA$167)</f>
        <v>0</v>
      </c>
      <c r="G42">
        <f ca="1">SUMIF(Top!$W$5:$W$168,$B42,Top!AB$5:AB$167)+SUMIF(Mid!$W$5:$W$168,$B42,Mid!AB$5:AB$167)</f>
        <v>0</v>
      </c>
      <c r="H42">
        <f ca="1">SUMIF(Top!$W$5:$W$168,$B42,Top!AC$5:AC$167)+SUMIF(Mid!$W$5:$W$168,$B42,Mid!AC$5:AC$167)</f>
        <v>0</v>
      </c>
      <c r="I42">
        <f ca="1">SUMIF(Top!$W$5:$W$168,$B42,Top!AD$5:AD$167)+SUMIF(Mid!$W$5:$W$168,$B42,Mid!AD$5:AD$167)</f>
        <v>0</v>
      </c>
      <c r="J42">
        <f ca="1">SUMIF(Top!$W$5:$W$168,$B42,Top!AE$5:AE$167)+SUMIF(Mid!$W$5:$W$168,$B42,Mid!AE$5:AE$167)</f>
        <v>0</v>
      </c>
      <c r="K42">
        <f ca="1">SUMIF(Top!$W$5:$W$168,$B42,Top!AF$5:AF$167)+SUMIF(Mid!$W$5:$W$168,$B42,Mid!AF$5:AF$167)</f>
        <v>0</v>
      </c>
      <c r="L42">
        <f ca="1">SUMIF(Top!$W$5:$W$168,$B42,Top!AG$5:AG$167)+SUMIF(Mid!$W$5:$W$168,$B42,Mid!AG$5:AG$167)</f>
        <v>0</v>
      </c>
      <c r="M42">
        <f ca="1">SUMIF(Top!$W$5:$W$168,$B42,Top!AH$5:AH$167)+SUMIF(Mid!$W$5:$W$168,$B42,Mid!AH$5:AH$167)</f>
        <v>0</v>
      </c>
      <c r="N42">
        <f ca="1">SUMIF(Top!$W$5:$W$168,$B42,Top!AI$5:AI$167)+SUMIF(Mid!$W$5:$W$168,$B42,Mid!AI$5:AI$167)</f>
        <v>0</v>
      </c>
      <c r="O42">
        <f ca="1">SUMIF(Top!$W$5:$W$168,$B42,Top!AJ$5:AJ$167)+SUMIF(Mid!$W$5:$W$168,$B42,Mid!AJ$5:AJ$167)</f>
        <v>0</v>
      </c>
      <c r="P42">
        <f ca="1">SUMIF(Top!$W$5:$W$168,$B42,Top!AK$5:AK$167)+SUMIF(Mid!$W$5:$W$168,$B42,Mid!AK$5:AK$167)</f>
        <v>0</v>
      </c>
      <c r="Q42">
        <f t="shared" ca="1" si="0"/>
        <v>46</v>
      </c>
      <c r="R42" s="17">
        <f t="shared" ca="1" si="1"/>
        <v>23</v>
      </c>
    </row>
    <row r="43" spans="2:18" x14ac:dyDescent="0.25">
      <c r="B43" t="s">
        <v>37</v>
      </c>
      <c r="C43">
        <f ca="1">SUMIF(Top!$W$5:$W$168,$B43,Top!X$5:X$167)+SUMIF(Mid!$W$5:$W$168,$B43,Mid!X$5:X$167)</f>
        <v>19</v>
      </c>
      <c r="D43">
        <f ca="1">SUMIF(Top!$W$5:$W$168,$B43,Top!Y$5:Y$167)+SUMIF(Mid!$W$5:$W$168,$B43,Mid!Y$5:Y$167)</f>
        <v>28</v>
      </c>
      <c r="E43">
        <f ca="1">SUMIF(Top!$W$5:$W$168,$B43,Top!Z$5:Z$167)+SUMIF(Mid!$W$5:$W$168,$B43,Mid!Z$5:Z$167)</f>
        <v>17</v>
      </c>
      <c r="F43">
        <f ca="1">SUMIF(Top!$W$5:$W$168,$B43,Top!AA$5:AA$167)+SUMIF(Mid!$W$5:$W$168,$B43,Mid!AA$5:AA$167)</f>
        <v>0</v>
      </c>
      <c r="G43">
        <f ca="1">SUMIF(Top!$W$5:$W$168,$B43,Top!AB$5:AB$167)+SUMIF(Mid!$W$5:$W$168,$B43,Mid!AB$5:AB$167)</f>
        <v>0</v>
      </c>
      <c r="H43">
        <f ca="1">SUMIF(Top!$W$5:$W$168,$B43,Top!AC$5:AC$167)+SUMIF(Mid!$W$5:$W$168,$B43,Mid!AC$5:AC$167)</f>
        <v>0</v>
      </c>
      <c r="I43">
        <f ca="1">SUMIF(Top!$W$5:$W$168,$B43,Top!AD$5:AD$167)+SUMIF(Mid!$W$5:$W$168,$B43,Mid!AD$5:AD$167)</f>
        <v>0</v>
      </c>
      <c r="J43">
        <f ca="1">SUMIF(Top!$W$5:$W$168,$B43,Top!AE$5:AE$167)+SUMIF(Mid!$W$5:$W$168,$B43,Mid!AE$5:AE$167)</f>
        <v>0</v>
      </c>
      <c r="K43">
        <f ca="1">SUMIF(Top!$W$5:$W$168,$B43,Top!AF$5:AF$167)+SUMIF(Mid!$W$5:$W$168,$B43,Mid!AF$5:AF$167)</f>
        <v>0</v>
      </c>
      <c r="L43">
        <f ca="1">SUMIF(Top!$W$5:$W$168,$B43,Top!AG$5:AG$167)+SUMIF(Mid!$W$5:$W$168,$B43,Mid!AG$5:AG$167)</f>
        <v>0</v>
      </c>
      <c r="M43">
        <f ca="1">SUMIF(Top!$W$5:$W$168,$B43,Top!AH$5:AH$167)+SUMIF(Mid!$W$5:$W$168,$B43,Mid!AH$5:AH$167)</f>
        <v>0</v>
      </c>
      <c r="N43">
        <f ca="1">SUMIF(Top!$W$5:$W$168,$B43,Top!AI$5:AI$167)+SUMIF(Mid!$W$5:$W$168,$B43,Mid!AI$5:AI$167)</f>
        <v>0</v>
      </c>
      <c r="O43">
        <f ca="1">SUMIF(Top!$W$5:$W$168,$B43,Top!AJ$5:AJ$167)+SUMIF(Mid!$W$5:$W$168,$B43,Mid!AJ$5:AJ$167)</f>
        <v>0</v>
      </c>
      <c r="P43">
        <f ca="1">SUMIF(Top!$W$5:$W$168,$B43,Top!AK$5:AK$167)+SUMIF(Mid!$W$5:$W$168,$B43,Mid!AK$5:AK$167)</f>
        <v>0</v>
      </c>
      <c r="Q43">
        <f t="shared" ca="1" si="0"/>
        <v>64</v>
      </c>
      <c r="R43" s="17">
        <f t="shared" ca="1" si="1"/>
        <v>21.333333333333332</v>
      </c>
    </row>
    <row r="44" spans="2:18" x14ac:dyDescent="0.25">
      <c r="B44" t="s">
        <v>36</v>
      </c>
      <c r="C44">
        <f ca="1">SUMIF(Top!$W$5:$W$168,$B44,Top!X$5:X$167)+SUMIF(Mid!$W$5:$W$168,$B44,Mid!X$5:X$167)</f>
        <v>0</v>
      </c>
      <c r="D44">
        <f ca="1">SUMIF(Top!$W$5:$W$168,$B44,Top!Y$5:Y$167)+SUMIF(Mid!$W$5:$W$168,$B44,Mid!Y$5:Y$167)</f>
        <v>26</v>
      </c>
      <c r="E44">
        <f ca="1">SUMIF(Top!$W$5:$W$168,$B44,Top!Z$5:Z$167)+SUMIF(Mid!$W$5:$W$168,$B44,Mid!Z$5:Z$167)</f>
        <v>19</v>
      </c>
      <c r="F44">
        <f ca="1">SUMIF(Top!$W$5:$W$168,$B44,Top!AA$5:AA$167)+SUMIF(Mid!$W$5:$W$168,$B44,Mid!AA$5:AA$167)</f>
        <v>0</v>
      </c>
      <c r="G44">
        <f ca="1">SUMIF(Top!$W$5:$W$168,$B44,Top!AB$5:AB$167)+SUMIF(Mid!$W$5:$W$168,$B44,Mid!AB$5:AB$167)</f>
        <v>0</v>
      </c>
      <c r="H44">
        <f ca="1">SUMIF(Top!$W$5:$W$168,$B44,Top!AC$5:AC$167)+SUMIF(Mid!$W$5:$W$168,$B44,Mid!AC$5:AC$167)</f>
        <v>0</v>
      </c>
      <c r="I44">
        <f ca="1">SUMIF(Top!$W$5:$W$168,$B44,Top!AD$5:AD$167)+SUMIF(Mid!$W$5:$W$168,$B44,Mid!AD$5:AD$167)</f>
        <v>0</v>
      </c>
      <c r="J44">
        <f ca="1">SUMIF(Top!$W$5:$W$168,$B44,Top!AE$5:AE$167)+SUMIF(Mid!$W$5:$W$168,$B44,Mid!AE$5:AE$167)</f>
        <v>0</v>
      </c>
      <c r="K44">
        <f ca="1">SUMIF(Top!$W$5:$W$168,$B44,Top!AF$5:AF$167)+SUMIF(Mid!$W$5:$W$168,$B44,Mid!AF$5:AF$167)</f>
        <v>0</v>
      </c>
      <c r="L44">
        <f ca="1">SUMIF(Top!$W$5:$W$168,$B44,Top!AG$5:AG$167)+SUMIF(Mid!$W$5:$W$168,$B44,Mid!AG$5:AG$167)</f>
        <v>0</v>
      </c>
      <c r="M44">
        <f ca="1">SUMIF(Top!$W$5:$W$168,$B44,Top!AH$5:AH$167)+SUMIF(Mid!$W$5:$W$168,$B44,Mid!AH$5:AH$167)</f>
        <v>0</v>
      </c>
      <c r="N44">
        <f ca="1">SUMIF(Top!$W$5:$W$168,$B44,Top!AI$5:AI$167)+SUMIF(Mid!$W$5:$W$168,$B44,Mid!AI$5:AI$167)</f>
        <v>0</v>
      </c>
      <c r="O44">
        <f ca="1">SUMIF(Top!$W$5:$W$168,$B44,Top!AJ$5:AJ$167)+SUMIF(Mid!$W$5:$W$168,$B44,Mid!AJ$5:AJ$167)</f>
        <v>0</v>
      </c>
      <c r="P44">
        <f ca="1">SUMIF(Top!$W$5:$W$168,$B44,Top!AK$5:AK$167)+SUMIF(Mid!$W$5:$W$168,$B44,Mid!AK$5:AK$167)</f>
        <v>0</v>
      </c>
      <c r="Q44">
        <f t="shared" ca="1" si="0"/>
        <v>45</v>
      </c>
      <c r="R44" s="17">
        <f t="shared" ca="1" si="1"/>
        <v>22.5</v>
      </c>
    </row>
    <row r="45" spans="2:18" x14ac:dyDescent="0.25">
      <c r="B45" t="s">
        <v>22</v>
      </c>
      <c r="C45">
        <f ca="1">SUMIF(Top!$W$5:$W$168,$B45,Top!X$5:X$167)+SUMIF(Mid!$W$5:$W$168,$B45,Mid!X$5:X$167)</f>
        <v>15</v>
      </c>
      <c r="D45">
        <f ca="1">SUMIF(Top!$W$5:$W$168,$B45,Top!Y$5:Y$167)+SUMIF(Mid!$W$5:$W$168,$B45,Mid!Y$5:Y$167)</f>
        <v>32</v>
      </c>
      <c r="E45">
        <f ca="1">SUMIF(Top!$W$5:$W$168,$B45,Top!Z$5:Z$167)+SUMIF(Mid!$W$5:$W$168,$B45,Mid!Z$5:Z$167)</f>
        <v>16</v>
      </c>
      <c r="F45">
        <f ca="1">SUMIF(Top!$W$5:$W$168,$B45,Top!AA$5:AA$167)+SUMIF(Mid!$W$5:$W$168,$B45,Mid!AA$5:AA$167)</f>
        <v>26</v>
      </c>
      <c r="G45">
        <f ca="1">SUMIF(Top!$W$5:$W$168,$B45,Top!AB$5:AB$167)+SUMIF(Mid!$W$5:$W$168,$B45,Mid!AB$5:AB$167)</f>
        <v>0</v>
      </c>
      <c r="H45">
        <f ca="1">SUMIF(Top!$W$5:$W$168,$B45,Top!AC$5:AC$167)+SUMIF(Mid!$W$5:$W$168,$B45,Mid!AC$5:AC$167)</f>
        <v>0</v>
      </c>
      <c r="I45">
        <f ca="1">SUMIF(Top!$W$5:$W$168,$B45,Top!AD$5:AD$167)+SUMIF(Mid!$W$5:$W$168,$B45,Mid!AD$5:AD$167)</f>
        <v>0</v>
      </c>
      <c r="J45">
        <f ca="1">SUMIF(Top!$W$5:$W$168,$B45,Top!AE$5:AE$167)+SUMIF(Mid!$W$5:$W$168,$B45,Mid!AE$5:AE$167)</f>
        <v>0</v>
      </c>
      <c r="K45">
        <f ca="1">SUMIF(Top!$W$5:$W$168,$B45,Top!AF$5:AF$167)+SUMIF(Mid!$W$5:$W$168,$B45,Mid!AF$5:AF$167)</f>
        <v>0</v>
      </c>
      <c r="L45">
        <f ca="1">SUMIF(Top!$W$5:$W$168,$B45,Top!AG$5:AG$167)+SUMIF(Mid!$W$5:$W$168,$B45,Mid!AG$5:AG$167)</f>
        <v>0</v>
      </c>
      <c r="M45">
        <f ca="1">SUMIF(Top!$W$5:$W$168,$B45,Top!AH$5:AH$167)+SUMIF(Mid!$W$5:$W$168,$B45,Mid!AH$5:AH$167)</f>
        <v>0</v>
      </c>
      <c r="N45">
        <f ca="1">SUMIF(Top!$W$5:$W$168,$B45,Top!AI$5:AI$167)+SUMIF(Mid!$W$5:$W$168,$B45,Mid!AI$5:AI$167)</f>
        <v>0</v>
      </c>
      <c r="O45">
        <f ca="1">SUMIF(Top!$W$5:$W$168,$B45,Top!AJ$5:AJ$167)+SUMIF(Mid!$W$5:$W$168,$B45,Mid!AJ$5:AJ$167)</f>
        <v>0</v>
      </c>
      <c r="P45">
        <f ca="1">SUMIF(Top!$W$5:$W$168,$B45,Top!AK$5:AK$167)+SUMIF(Mid!$W$5:$W$168,$B45,Mid!AK$5:AK$167)</f>
        <v>0</v>
      </c>
      <c r="Q45">
        <f t="shared" ca="1" si="0"/>
        <v>89</v>
      </c>
      <c r="R45" s="17">
        <f t="shared" ca="1" si="1"/>
        <v>22.25</v>
      </c>
    </row>
    <row r="46" spans="2:18" x14ac:dyDescent="0.25">
      <c r="B46" t="s">
        <v>53</v>
      </c>
      <c r="C46">
        <f ca="1">SUMIF(Top!$W$5:$W$168,$B46,Top!X$5:X$167)+SUMIF(Mid!$W$5:$W$168,$B46,Mid!X$5:X$167)</f>
        <v>0</v>
      </c>
      <c r="D46">
        <f ca="1">SUMIF(Top!$W$5:$W$168,$B46,Top!Y$5:Y$167)+SUMIF(Mid!$W$5:$W$168,$B46,Mid!Y$5:Y$167)</f>
        <v>22</v>
      </c>
      <c r="E46">
        <f ca="1">SUMIF(Top!$W$5:$W$168,$B46,Top!Z$5:Z$167)+SUMIF(Mid!$W$5:$W$168,$B46,Mid!Z$5:Z$167)</f>
        <v>0</v>
      </c>
      <c r="F46">
        <f ca="1">SUMIF(Top!$W$5:$W$168,$B46,Top!AA$5:AA$167)+SUMIF(Mid!$W$5:$W$168,$B46,Mid!AA$5:AA$167)</f>
        <v>0</v>
      </c>
      <c r="G46">
        <f ca="1">SUMIF(Top!$W$5:$W$168,$B46,Top!AB$5:AB$167)+SUMIF(Mid!$W$5:$W$168,$B46,Mid!AB$5:AB$167)</f>
        <v>0</v>
      </c>
      <c r="H46">
        <f ca="1">SUMIF(Top!$W$5:$W$168,$B46,Top!AC$5:AC$167)+SUMIF(Mid!$W$5:$W$168,$B46,Mid!AC$5:AC$167)</f>
        <v>0</v>
      </c>
      <c r="I46">
        <f ca="1">SUMIF(Top!$W$5:$W$168,$B46,Top!AD$5:AD$167)+SUMIF(Mid!$W$5:$W$168,$B46,Mid!AD$5:AD$167)</f>
        <v>0</v>
      </c>
      <c r="J46">
        <f ca="1">SUMIF(Top!$W$5:$W$168,$B46,Top!AE$5:AE$167)+SUMIF(Mid!$W$5:$W$168,$B46,Mid!AE$5:AE$167)</f>
        <v>0</v>
      </c>
      <c r="K46">
        <f ca="1">SUMIF(Top!$W$5:$W$168,$B46,Top!AF$5:AF$167)+SUMIF(Mid!$W$5:$W$168,$B46,Mid!AF$5:AF$167)</f>
        <v>0</v>
      </c>
      <c r="L46">
        <f ca="1">SUMIF(Top!$W$5:$W$168,$B46,Top!AG$5:AG$167)+SUMIF(Mid!$W$5:$W$168,$B46,Mid!AG$5:AG$167)</f>
        <v>0</v>
      </c>
      <c r="M46">
        <f ca="1">SUMIF(Top!$W$5:$W$168,$B46,Top!AH$5:AH$167)+SUMIF(Mid!$W$5:$W$168,$B46,Mid!AH$5:AH$167)</f>
        <v>0</v>
      </c>
      <c r="N46">
        <f ca="1">SUMIF(Top!$W$5:$W$168,$B46,Top!AI$5:AI$167)+SUMIF(Mid!$W$5:$W$168,$B46,Mid!AI$5:AI$167)</f>
        <v>0</v>
      </c>
      <c r="O46">
        <f ca="1">SUMIF(Top!$W$5:$W$168,$B46,Top!AJ$5:AJ$167)+SUMIF(Mid!$W$5:$W$168,$B46,Mid!AJ$5:AJ$167)</f>
        <v>0</v>
      </c>
      <c r="P46">
        <f ca="1">SUMIF(Top!$W$5:$W$168,$B46,Top!AK$5:AK$167)+SUMIF(Mid!$W$5:$W$168,$B46,Mid!AK$5:AK$167)</f>
        <v>0</v>
      </c>
      <c r="Q46">
        <f t="shared" ca="1" si="0"/>
        <v>22</v>
      </c>
      <c r="R46" s="17">
        <f t="shared" ca="1" si="1"/>
        <v>22</v>
      </c>
    </row>
    <row r="47" spans="2:18" x14ac:dyDescent="0.25">
      <c r="B47" t="s">
        <v>24</v>
      </c>
      <c r="C47">
        <f ca="1">SUMIF(Top!$W$5:$W$168,$B47,Top!X$5:X$167)+SUMIF(Mid!$W$5:$W$168,$B47,Mid!X$5:X$167)</f>
        <v>0</v>
      </c>
      <c r="D47">
        <f ca="1">SUMIF(Top!$W$5:$W$168,$B47,Top!Y$5:Y$167)+SUMIF(Mid!$W$5:$W$168,$B47,Mid!Y$5:Y$167)</f>
        <v>0</v>
      </c>
      <c r="E47">
        <f ca="1">SUMIF(Top!$W$5:$W$168,$B47,Top!Z$5:Z$167)+SUMIF(Mid!$W$5:$W$168,$B47,Mid!Z$5:Z$167)</f>
        <v>11</v>
      </c>
      <c r="F47">
        <f ca="1">SUMIF(Top!$W$5:$W$168,$B47,Top!AA$5:AA$167)+SUMIF(Mid!$W$5:$W$168,$B47,Mid!AA$5:AA$167)</f>
        <v>20</v>
      </c>
      <c r="G47">
        <f ca="1">SUMIF(Top!$W$5:$W$168,$B47,Top!AB$5:AB$167)+SUMIF(Mid!$W$5:$W$168,$B47,Mid!AB$5:AB$167)</f>
        <v>0</v>
      </c>
      <c r="H47">
        <f ca="1">SUMIF(Top!$W$5:$W$168,$B47,Top!AC$5:AC$167)+SUMIF(Mid!$W$5:$W$168,$B47,Mid!AC$5:AC$167)</f>
        <v>0</v>
      </c>
      <c r="I47">
        <f ca="1">SUMIF(Top!$W$5:$W$168,$B47,Top!AD$5:AD$167)+SUMIF(Mid!$W$5:$W$168,$B47,Mid!AD$5:AD$167)</f>
        <v>0</v>
      </c>
      <c r="J47">
        <f ca="1">SUMIF(Top!$W$5:$W$168,$B47,Top!AE$5:AE$167)+SUMIF(Mid!$W$5:$W$168,$B47,Mid!AE$5:AE$167)</f>
        <v>0</v>
      </c>
      <c r="K47">
        <f ca="1">SUMIF(Top!$W$5:$W$168,$B47,Top!AF$5:AF$167)+SUMIF(Mid!$W$5:$W$168,$B47,Mid!AF$5:AF$167)</f>
        <v>0</v>
      </c>
      <c r="L47">
        <f ca="1">SUMIF(Top!$W$5:$W$168,$B47,Top!AG$5:AG$167)+SUMIF(Mid!$W$5:$W$168,$B47,Mid!AG$5:AG$167)</f>
        <v>0</v>
      </c>
      <c r="M47">
        <f ca="1">SUMIF(Top!$W$5:$W$168,$B47,Top!AH$5:AH$167)+SUMIF(Mid!$W$5:$W$168,$B47,Mid!AH$5:AH$167)</f>
        <v>0</v>
      </c>
      <c r="N47">
        <f ca="1">SUMIF(Top!$W$5:$W$168,$B47,Top!AI$5:AI$167)+SUMIF(Mid!$W$5:$W$168,$B47,Mid!AI$5:AI$167)</f>
        <v>0</v>
      </c>
      <c r="O47">
        <f ca="1">SUMIF(Top!$W$5:$W$168,$B47,Top!AJ$5:AJ$167)+SUMIF(Mid!$W$5:$W$168,$B47,Mid!AJ$5:AJ$167)</f>
        <v>0</v>
      </c>
      <c r="P47">
        <f ca="1">SUMIF(Top!$W$5:$W$168,$B47,Top!AK$5:AK$167)+SUMIF(Mid!$W$5:$W$168,$B47,Mid!AK$5:AK$167)</f>
        <v>0</v>
      </c>
      <c r="Q47">
        <f t="shared" ca="1" si="0"/>
        <v>31</v>
      </c>
      <c r="R47" s="17">
        <f t="shared" ca="1" si="1"/>
        <v>15.5</v>
      </c>
    </row>
    <row r="48" spans="2:18" x14ac:dyDescent="0.25">
      <c r="B48" t="s">
        <v>43</v>
      </c>
      <c r="C48">
        <f ca="1">SUMIF(Top!$W$5:$W$168,$B48,Top!X$5:X$167)+SUMIF(Mid!$W$5:$W$168,$B48,Mid!X$5:X$167)</f>
        <v>5</v>
      </c>
      <c r="D48">
        <f ca="1">SUMIF(Top!$W$5:$W$168,$B48,Top!Y$5:Y$167)+SUMIF(Mid!$W$5:$W$168,$B48,Mid!Y$5:Y$167)</f>
        <v>20</v>
      </c>
      <c r="E48">
        <f ca="1">SUMIF(Top!$W$5:$W$168,$B48,Top!Z$5:Z$167)+SUMIF(Mid!$W$5:$W$168,$B48,Mid!Z$5:Z$167)</f>
        <v>0</v>
      </c>
      <c r="F48">
        <f ca="1">SUMIF(Top!$W$5:$W$168,$B48,Top!AA$5:AA$167)+SUMIF(Mid!$W$5:$W$168,$B48,Mid!AA$5:AA$167)</f>
        <v>0</v>
      </c>
      <c r="G48">
        <f ca="1">SUMIF(Top!$W$5:$W$168,$B48,Top!AB$5:AB$167)+SUMIF(Mid!$W$5:$W$168,$B48,Mid!AB$5:AB$167)</f>
        <v>0</v>
      </c>
      <c r="H48">
        <f ca="1">SUMIF(Top!$W$5:$W$168,$B48,Top!AC$5:AC$167)+SUMIF(Mid!$W$5:$W$168,$B48,Mid!AC$5:AC$167)</f>
        <v>0</v>
      </c>
      <c r="I48">
        <f ca="1">SUMIF(Top!$W$5:$W$168,$B48,Top!AD$5:AD$167)+SUMIF(Mid!$W$5:$W$168,$B48,Mid!AD$5:AD$167)</f>
        <v>0</v>
      </c>
      <c r="J48">
        <f ca="1">SUMIF(Top!$W$5:$W$168,$B48,Top!AE$5:AE$167)+SUMIF(Mid!$W$5:$W$168,$B48,Mid!AE$5:AE$167)</f>
        <v>0</v>
      </c>
      <c r="K48">
        <f ca="1">SUMIF(Top!$W$5:$W$168,$B48,Top!AF$5:AF$167)+SUMIF(Mid!$W$5:$W$168,$B48,Mid!AF$5:AF$167)</f>
        <v>0</v>
      </c>
      <c r="L48">
        <f ca="1">SUMIF(Top!$W$5:$W$168,$B48,Top!AG$5:AG$167)+SUMIF(Mid!$W$5:$W$168,$B48,Mid!AG$5:AG$167)</f>
        <v>0</v>
      </c>
      <c r="M48">
        <f ca="1">SUMIF(Top!$W$5:$W$168,$B48,Top!AH$5:AH$167)+SUMIF(Mid!$W$5:$W$168,$B48,Mid!AH$5:AH$167)</f>
        <v>0</v>
      </c>
      <c r="N48">
        <f ca="1">SUMIF(Top!$W$5:$W$168,$B48,Top!AI$5:AI$167)+SUMIF(Mid!$W$5:$W$168,$B48,Mid!AI$5:AI$167)</f>
        <v>0</v>
      </c>
      <c r="O48">
        <f ca="1">SUMIF(Top!$W$5:$W$168,$B48,Top!AJ$5:AJ$167)+SUMIF(Mid!$W$5:$W$168,$B48,Mid!AJ$5:AJ$167)</f>
        <v>0</v>
      </c>
      <c r="P48">
        <f ca="1">SUMIF(Top!$W$5:$W$168,$B48,Top!AK$5:AK$167)+SUMIF(Mid!$W$5:$W$168,$B48,Mid!AK$5:AK$167)</f>
        <v>0</v>
      </c>
      <c r="Q48">
        <f t="shared" ca="1" si="0"/>
        <v>25</v>
      </c>
      <c r="R48" s="17">
        <f t="shared" ca="1" si="1"/>
        <v>12.5</v>
      </c>
    </row>
    <row r="49" spans="2:18" x14ac:dyDescent="0.25">
      <c r="B49" t="s">
        <v>52</v>
      </c>
      <c r="C49">
        <f ca="1">SUMIF(Top!$W$5:$W$168,$B49,Top!X$5:X$167)+SUMIF(Mid!$W$5:$W$168,$B49,Mid!X$5:X$167)</f>
        <v>20</v>
      </c>
      <c r="D49">
        <f ca="1">SUMIF(Top!$W$5:$W$168,$B49,Top!Y$5:Y$167)+SUMIF(Mid!$W$5:$W$168,$B49,Mid!Y$5:Y$167)</f>
        <v>0</v>
      </c>
      <c r="E49">
        <f ca="1">SUMIF(Top!$W$5:$W$168,$B49,Top!Z$5:Z$167)+SUMIF(Mid!$W$5:$W$168,$B49,Mid!Z$5:Z$167)</f>
        <v>0</v>
      </c>
      <c r="F49">
        <f ca="1">SUMIF(Top!$W$5:$W$168,$B49,Top!AA$5:AA$167)+SUMIF(Mid!$W$5:$W$168,$B49,Mid!AA$5:AA$167)</f>
        <v>0</v>
      </c>
      <c r="G49">
        <f ca="1">SUMIF(Top!$W$5:$W$168,$B49,Top!AB$5:AB$167)+SUMIF(Mid!$W$5:$W$168,$B49,Mid!AB$5:AB$167)</f>
        <v>0</v>
      </c>
      <c r="H49">
        <f ca="1">SUMIF(Top!$W$5:$W$168,$B49,Top!AC$5:AC$167)+SUMIF(Mid!$W$5:$W$168,$B49,Mid!AC$5:AC$167)</f>
        <v>0</v>
      </c>
      <c r="I49">
        <f ca="1">SUMIF(Top!$W$5:$W$168,$B49,Top!AD$5:AD$167)+SUMIF(Mid!$W$5:$W$168,$B49,Mid!AD$5:AD$167)</f>
        <v>0</v>
      </c>
      <c r="J49">
        <f ca="1">SUMIF(Top!$W$5:$W$168,$B49,Top!AE$5:AE$167)+SUMIF(Mid!$W$5:$W$168,$B49,Mid!AE$5:AE$167)</f>
        <v>0</v>
      </c>
      <c r="K49">
        <f ca="1">SUMIF(Top!$W$5:$W$168,$B49,Top!AF$5:AF$167)+SUMIF(Mid!$W$5:$W$168,$B49,Mid!AF$5:AF$167)</f>
        <v>0</v>
      </c>
      <c r="L49">
        <f ca="1">SUMIF(Top!$W$5:$W$168,$B49,Top!AG$5:AG$167)+SUMIF(Mid!$W$5:$W$168,$B49,Mid!AG$5:AG$167)</f>
        <v>0</v>
      </c>
      <c r="M49">
        <f ca="1">SUMIF(Top!$W$5:$W$168,$B49,Top!AH$5:AH$167)+SUMIF(Mid!$W$5:$W$168,$B49,Mid!AH$5:AH$167)</f>
        <v>0</v>
      </c>
      <c r="N49">
        <f ca="1">SUMIF(Top!$W$5:$W$168,$B49,Top!AI$5:AI$167)+SUMIF(Mid!$W$5:$W$168,$B49,Mid!AI$5:AI$167)</f>
        <v>0</v>
      </c>
      <c r="O49">
        <f ca="1">SUMIF(Top!$W$5:$W$168,$B49,Top!AJ$5:AJ$167)+SUMIF(Mid!$W$5:$W$168,$B49,Mid!AJ$5:AJ$167)</f>
        <v>0</v>
      </c>
      <c r="P49">
        <f ca="1">SUMIF(Top!$W$5:$W$168,$B49,Top!AK$5:AK$167)+SUMIF(Mid!$W$5:$W$168,$B49,Mid!AK$5:AK$167)</f>
        <v>0</v>
      </c>
      <c r="Q49">
        <f t="shared" ca="1" si="0"/>
        <v>20</v>
      </c>
      <c r="R49" s="17">
        <f t="shared" ca="1" si="1"/>
        <v>20</v>
      </c>
    </row>
    <row r="50" spans="2:18" x14ac:dyDescent="0.25">
      <c r="B50" t="s">
        <v>44</v>
      </c>
      <c r="C50">
        <f ca="1">SUMIF(Top!$W$5:$W$168,$B50,Top!X$5:X$167)+SUMIF(Mid!$W$5:$W$168,$B50,Mid!X$5:X$167)</f>
        <v>19</v>
      </c>
      <c r="D50">
        <f ca="1">SUMIF(Top!$W$5:$W$168,$B50,Top!Y$5:Y$167)+SUMIF(Mid!$W$5:$W$168,$B50,Mid!Y$5:Y$167)</f>
        <v>0</v>
      </c>
      <c r="E50">
        <f ca="1">SUMIF(Top!$W$5:$W$168,$B50,Top!Z$5:Z$167)+SUMIF(Mid!$W$5:$W$168,$B50,Mid!Z$5:Z$167)</f>
        <v>0</v>
      </c>
      <c r="F50">
        <f ca="1">SUMIF(Top!$W$5:$W$168,$B50,Top!AA$5:AA$167)+SUMIF(Mid!$W$5:$W$168,$B50,Mid!AA$5:AA$167)</f>
        <v>0</v>
      </c>
      <c r="G50">
        <f ca="1">SUMIF(Top!$W$5:$W$168,$B50,Top!AB$5:AB$167)+SUMIF(Mid!$W$5:$W$168,$B50,Mid!AB$5:AB$167)</f>
        <v>0</v>
      </c>
      <c r="H50">
        <f ca="1">SUMIF(Top!$W$5:$W$168,$B50,Top!AC$5:AC$167)+SUMIF(Mid!$W$5:$W$168,$B50,Mid!AC$5:AC$167)</f>
        <v>0</v>
      </c>
      <c r="I50">
        <f ca="1">SUMIF(Top!$W$5:$W$168,$B50,Top!AD$5:AD$167)+SUMIF(Mid!$W$5:$W$168,$B50,Mid!AD$5:AD$167)</f>
        <v>0</v>
      </c>
      <c r="J50">
        <f ca="1">SUMIF(Top!$W$5:$W$168,$B50,Top!AE$5:AE$167)+SUMIF(Mid!$W$5:$W$168,$B50,Mid!AE$5:AE$167)</f>
        <v>0</v>
      </c>
      <c r="K50">
        <f ca="1">SUMIF(Top!$W$5:$W$168,$B50,Top!AF$5:AF$167)+SUMIF(Mid!$W$5:$W$168,$B50,Mid!AF$5:AF$167)</f>
        <v>0</v>
      </c>
      <c r="L50">
        <f ca="1">SUMIF(Top!$W$5:$W$168,$B50,Top!AG$5:AG$167)+SUMIF(Mid!$W$5:$W$168,$B50,Mid!AG$5:AG$167)</f>
        <v>0</v>
      </c>
      <c r="M50">
        <f ca="1">SUMIF(Top!$W$5:$W$168,$B50,Top!AH$5:AH$167)+SUMIF(Mid!$W$5:$W$168,$B50,Mid!AH$5:AH$167)</f>
        <v>0</v>
      </c>
      <c r="N50">
        <f ca="1">SUMIF(Top!$W$5:$W$168,$B50,Top!AI$5:AI$167)+SUMIF(Mid!$W$5:$W$168,$B50,Mid!AI$5:AI$167)</f>
        <v>0</v>
      </c>
      <c r="O50">
        <f ca="1">SUMIF(Top!$W$5:$W$168,$B50,Top!AJ$5:AJ$167)+SUMIF(Mid!$W$5:$W$168,$B50,Mid!AJ$5:AJ$167)</f>
        <v>0</v>
      </c>
      <c r="P50">
        <f ca="1">SUMIF(Top!$W$5:$W$168,$B50,Top!AK$5:AK$167)+SUMIF(Mid!$W$5:$W$168,$B50,Mid!AK$5:AK$167)</f>
        <v>0</v>
      </c>
      <c r="Q50">
        <f t="shared" ca="1" si="0"/>
        <v>19</v>
      </c>
      <c r="R50" s="17">
        <f t="shared" ca="1" si="1"/>
        <v>19</v>
      </c>
    </row>
    <row r="51" spans="2:18" x14ac:dyDescent="0.25">
      <c r="B51" t="s">
        <v>28</v>
      </c>
      <c r="C51">
        <f ca="1">SUMIF(Top!$W$5:$W$168,$B51,Top!X$5:X$167)+SUMIF(Mid!$W$5:$W$168,$B51,Mid!X$5:X$167)</f>
        <v>0</v>
      </c>
      <c r="D51">
        <f ca="1">SUMIF(Top!$W$5:$W$168,$B51,Top!Y$5:Y$167)+SUMIF(Mid!$W$5:$W$168,$B51,Mid!Y$5:Y$167)</f>
        <v>19</v>
      </c>
      <c r="E51">
        <f ca="1">SUMIF(Top!$W$5:$W$168,$B51,Top!Z$5:Z$167)+SUMIF(Mid!$W$5:$W$168,$B51,Mid!Z$5:Z$167)</f>
        <v>0</v>
      </c>
      <c r="F51">
        <f ca="1">SUMIF(Top!$W$5:$W$168,$B51,Top!AA$5:AA$167)+SUMIF(Mid!$W$5:$W$168,$B51,Mid!AA$5:AA$167)</f>
        <v>17</v>
      </c>
      <c r="G51">
        <f ca="1">SUMIF(Top!$W$5:$W$168,$B51,Top!AB$5:AB$167)+SUMIF(Mid!$W$5:$W$168,$B51,Mid!AB$5:AB$167)</f>
        <v>0</v>
      </c>
      <c r="H51">
        <f ca="1">SUMIF(Top!$W$5:$W$168,$B51,Top!AC$5:AC$167)+SUMIF(Mid!$W$5:$W$168,$B51,Mid!AC$5:AC$167)</f>
        <v>0</v>
      </c>
      <c r="I51">
        <f ca="1">SUMIF(Top!$W$5:$W$168,$B51,Top!AD$5:AD$167)+SUMIF(Mid!$W$5:$W$168,$B51,Mid!AD$5:AD$167)</f>
        <v>0</v>
      </c>
      <c r="J51">
        <f ca="1">SUMIF(Top!$W$5:$W$168,$B51,Top!AE$5:AE$167)+SUMIF(Mid!$W$5:$W$168,$B51,Mid!AE$5:AE$167)</f>
        <v>0</v>
      </c>
      <c r="K51">
        <f ca="1">SUMIF(Top!$W$5:$W$168,$B51,Top!AF$5:AF$167)+SUMIF(Mid!$W$5:$W$168,$B51,Mid!AF$5:AF$167)</f>
        <v>0</v>
      </c>
      <c r="L51">
        <f ca="1">SUMIF(Top!$W$5:$W$168,$B51,Top!AG$5:AG$167)+SUMIF(Mid!$W$5:$W$168,$B51,Mid!AG$5:AG$167)</f>
        <v>0</v>
      </c>
      <c r="M51">
        <f ca="1">SUMIF(Top!$W$5:$W$168,$B51,Top!AH$5:AH$167)+SUMIF(Mid!$W$5:$W$168,$B51,Mid!AH$5:AH$167)</f>
        <v>0</v>
      </c>
      <c r="N51">
        <f ca="1">SUMIF(Top!$W$5:$W$168,$B51,Top!AI$5:AI$167)+SUMIF(Mid!$W$5:$W$168,$B51,Mid!AI$5:AI$167)</f>
        <v>0</v>
      </c>
      <c r="O51">
        <f ca="1">SUMIF(Top!$W$5:$W$168,$B51,Top!AJ$5:AJ$167)+SUMIF(Mid!$W$5:$W$168,$B51,Mid!AJ$5:AJ$167)</f>
        <v>0</v>
      </c>
      <c r="P51">
        <f ca="1">SUMIF(Top!$W$5:$W$168,$B51,Top!AK$5:AK$167)+SUMIF(Mid!$W$5:$W$168,$B51,Mid!AK$5:AK$167)</f>
        <v>0</v>
      </c>
      <c r="Q51">
        <f t="shared" ca="1" si="0"/>
        <v>36</v>
      </c>
      <c r="R51" s="17">
        <f t="shared" ca="1" si="1"/>
        <v>18</v>
      </c>
    </row>
    <row r="52" spans="2:18" ht="15" customHeight="1" x14ac:dyDescent="0.25">
      <c r="B52" t="s">
        <v>305</v>
      </c>
      <c r="C52">
        <f ca="1">SUMIF(Top!$W$5:$W$168,$B52,Top!X$5:X$167)+SUMIF(Mid!$W$5:$W$168,$B52,Mid!X$5:X$167)</f>
        <v>0</v>
      </c>
      <c r="D52">
        <f ca="1">SUMIF(Top!$W$5:$W$168,$B52,Top!Y$5:Y$167)+SUMIF(Mid!$W$5:$W$168,$B52,Mid!Y$5:Y$167)</f>
        <v>18</v>
      </c>
      <c r="E52">
        <f ca="1">SUMIF(Top!$W$5:$W$168,$B52,Top!Z$5:Z$167)+SUMIF(Mid!$W$5:$W$168,$B52,Mid!Z$5:Z$167)</f>
        <v>0</v>
      </c>
      <c r="F52">
        <f ca="1">SUMIF(Top!$W$5:$W$168,$B52,Top!AA$5:AA$167)+SUMIF(Mid!$W$5:$W$168,$B52,Mid!AA$5:AA$167)</f>
        <v>0</v>
      </c>
      <c r="G52">
        <f ca="1">SUMIF(Top!$W$5:$W$168,$B52,Top!AB$5:AB$167)+SUMIF(Mid!$W$5:$W$168,$B52,Mid!AB$5:AB$167)</f>
        <v>0</v>
      </c>
      <c r="H52">
        <f ca="1">SUMIF(Top!$W$5:$W$168,$B52,Top!AC$5:AC$167)+SUMIF(Mid!$W$5:$W$168,$B52,Mid!AC$5:AC$167)</f>
        <v>0</v>
      </c>
      <c r="I52">
        <f ca="1">SUMIF(Top!$W$5:$W$168,$B52,Top!AD$5:AD$167)+SUMIF(Mid!$W$5:$W$168,$B52,Mid!AD$5:AD$167)</f>
        <v>0</v>
      </c>
      <c r="J52">
        <f ca="1">SUMIF(Top!$W$5:$W$168,$B52,Top!AE$5:AE$167)+SUMIF(Mid!$W$5:$W$168,$B52,Mid!AE$5:AE$167)</f>
        <v>0</v>
      </c>
      <c r="K52">
        <f ca="1">SUMIF(Top!$W$5:$W$168,$B52,Top!AF$5:AF$167)+SUMIF(Mid!$W$5:$W$168,$B52,Mid!AF$5:AF$167)</f>
        <v>0</v>
      </c>
      <c r="L52">
        <f ca="1">SUMIF(Top!$W$5:$W$168,$B52,Top!AG$5:AG$167)+SUMIF(Mid!$W$5:$W$168,$B52,Mid!AG$5:AG$167)</f>
        <v>0</v>
      </c>
      <c r="M52">
        <f ca="1">SUMIF(Top!$W$5:$W$168,$B52,Top!AH$5:AH$167)+SUMIF(Mid!$W$5:$W$168,$B52,Mid!AH$5:AH$167)</f>
        <v>0</v>
      </c>
      <c r="N52">
        <f ca="1">SUMIF(Top!$W$5:$W$168,$B52,Top!AI$5:AI$167)+SUMIF(Mid!$W$5:$W$168,$B52,Mid!AI$5:AI$167)</f>
        <v>0</v>
      </c>
      <c r="O52">
        <f ca="1">SUMIF(Top!$W$5:$W$168,$B52,Top!AJ$5:AJ$167)+SUMIF(Mid!$W$5:$W$168,$B52,Mid!AJ$5:AJ$167)</f>
        <v>0</v>
      </c>
      <c r="P52">
        <f ca="1">SUMIF(Top!$W$5:$W$168,$B52,Top!AK$5:AK$167)+SUMIF(Mid!$W$5:$W$168,$B52,Mid!AK$5:AK$167)</f>
        <v>0</v>
      </c>
      <c r="Q52">
        <f t="shared" ca="1" si="0"/>
        <v>18</v>
      </c>
      <c r="R52" s="17">
        <f t="shared" ca="1" si="1"/>
        <v>18</v>
      </c>
    </row>
    <row r="53" spans="2:18" ht="15.75" customHeight="1" x14ac:dyDescent="0.25">
      <c r="B53" t="s">
        <v>316</v>
      </c>
      <c r="C53">
        <f ca="1">SUMIF(Top!$W$5:$W$168,$B53,Top!X$5:X$167)+SUMIF(Mid!$W$5:$W$168,$B53,Mid!X$5:X$167)</f>
        <v>0</v>
      </c>
      <c r="D53">
        <f ca="1">SUMIF(Top!$W$5:$W$168,$B53,Top!Y$5:Y$167)+SUMIF(Mid!$W$5:$W$168,$B53,Mid!Y$5:Y$167)</f>
        <v>17</v>
      </c>
      <c r="E53">
        <f ca="1">SUMIF(Top!$W$5:$W$168,$B53,Top!Z$5:Z$167)+SUMIF(Mid!$W$5:$W$168,$B53,Mid!Z$5:Z$167)</f>
        <v>18</v>
      </c>
      <c r="F53">
        <f ca="1">SUMIF(Top!$W$5:$W$168,$B53,Top!AA$5:AA$167)+SUMIF(Mid!$W$5:$W$168,$B53,Mid!AA$5:AA$167)</f>
        <v>0</v>
      </c>
      <c r="G53">
        <f ca="1">SUMIF(Top!$W$5:$W$168,$B53,Top!AB$5:AB$167)+SUMIF(Mid!$W$5:$W$168,$B53,Mid!AB$5:AB$167)</f>
        <v>0</v>
      </c>
      <c r="H53">
        <f ca="1">SUMIF(Top!$W$5:$W$168,$B53,Top!AC$5:AC$167)+SUMIF(Mid!$W$5:$W$168,$B53,Mid!AC$5:AC$167)</f>
        <v>0</v>
      </c>
      <c r="I53">
        <f ca="1">SUMIF(Top!$W$5:$W$168,$B53,Top!AD$5:AD$167)+SUMIF(Mid!$W$5:$W$168,$B53,Mid!AD$5:AD$167)</f>
        <v>0</v>
      </c>
      <c r="J53">
        <f ca="1">SUMIF(Top!$W$5:$W$168,$B53,Top!AE$5:AE$167)+SUMIF(Mid!$W$5:$W$168,$B53,Mid!AE$5:AE$167)</f>
        <v>0</v>
      </c>
      <c r="K53">
        <f ca="1">SUMIF(Top!$W$5:$W$168,$B53,Top!AF$5:AF$167)+SUMIF(Mid!$W$5:$W$168,$B53,Mid!AF$5:AF$167)</f>
        <v>0</v>
      </c>
      <c r="L53">
        <f ca="1">SUMIF(Top!$W$5:$W$168,$B53,Top!AG$5:AG$167)+SUMIF(Mid!$W$5:$W$168,$B53,Mid!AG$5:AG$167)</f>
        <v>0</v>
      </c>
      <c r="M53">
        <f ca="1">SUMIF(Top!$W$5:$W$168,$B53,Top!AH$5:AH$167)+SUMIF(Mid!$W$5:$W$168,$B53,Mid!AH$5:AH$167)</f>
        <v>0</v>
      </c>
      <c r="N53">
        <f ca="1">SUMIF(Top!$W$5:$W$168,$B53,Top!AI$5:AI$167)+SUMIF(Mid!$W$5:$W$168,$B53,Mid!AI$5:AI$167)</f>
        <v>0</v>
      </c>
      <c r="O53">
        <f ca="1">SUMIF(Top!$W$5:$W$168,$B53,Top!AJ$5:AJ$167)+SUMIF(Mid!$W$5:$W$168,$B53,Mid!AJ$5:AJ$167)</f>
        <v>0</v>
      </c>
      <c r="P53">
        <f ca="1">SUMIF(Top!$W$5:$W$168,$B53,Top!AK$5:AK$167)+SUMIF(Mid!$W$5:$W$168,$B53,Mid!AK$5:AK$167)</f>
        <v>0</v>
      </c>
      <c r="Q53">
        <f t="shared" ca="1" si="0"/>
        <v>35</v>
      </c>
      <c r="R53" s="17">
        <f t="shared" ca="1" si="1"/>
        <v>17.5</v>
      </c>
    </row>
    <row r="54" spans="2:18" x14ac:dyDescent="0.25">
      <c r="B54" t="s">
        <v>45</v>
      </c>
      <c r="C54">
        <f ca="1">SUMIF(Top!$W$5:$W$168,$B54,Top!X$5:X$167)+SUMIF(Mid!$W$5:$W$168,$B54,Mid!X$5:X$167)</f>
        <v>0</v>
      </c>
      <c r="D54">
        <f ca="1">SUMIF(Top!$W$5:$W$168,$B54,Top!Y$5:Y$167)+SUMIF(Mid!$W$5:$W$168,$B54,Mid!Y$5:Y$167)</f>
        <v>16</v>
      </c>
      <c r="E54">
        <f ca="1">SUMIF(Top!$W$5:$W$168,$B54,Top!Z$5:Z$167)+SUMIF(Mid!$W$5:$W$168,$B54,Mid!Z$5:Z$167)</f>
        <v>0</v>
      </c>
      <c r="F54">
        <f ca="1">SUMIF(Top!$W$5:$W$168,$B54,Top!AA$5:AA$167)+SUMIF(Mid!$W$5:$W$168,$B54,Mid!AA$5:AA$167)</f>
        <v>0</v>
      </c>
      <c r="G54">
        <f ca="1">SUMIF(Top!$W$5:$W$168,$B54,Top!AB$5:AB$167)+SUMIF(Mid!$W$5:$W$168,$B54,Mid!AB$5:AB$167)</f>
        <v>0</v>
      </c>
      <c r="H54">
        <f ca="1">SUMIF(Top!$W$5:$W$168,$B54,Top!AC$5:AC$167)+SUMIF(Mid!$W$5:$W$168,$B54,Mid!AC$5:AC$167)</f>
        <v>0</v>
      </c>
      <c r="I54">
        <f ca="1">SUMIF(Top!$W$5:$W$168,$B54,Top!AD$5:AD$167)+SUMIF(Mid!$W$5:$W$168,$B54,Mid!AD$5:AD$167)</f>
        <v>0</v>
      </c>
      <c r="J54">
        <f ca="1">SUMIF(Top!$W$5:$W$168,$B54,Top!AE$5:AE$167)+SUMIF(Mid!$W$5:$W$168,$B54,Mid!AE$5:AE$167)</f>
        <v>0</v>
      </c>
      <c r="K54">
        <f ca="1">SUMIF(Top!$W$5:$W$168,$B54,Top!AF$5:AF$167)+SUMIF(Mid!$W$5:$W$168,$B54,Mid!AF$5:AF$167)</f>
        <v>0</v>
      </c>
      <c r="L54">
        <f ca="1">SUMIF(Top!$W$5:$W$168,$B54,Top!AG$5:AG$167)+SUMIF(Mid!$W$5:$W$168,$B54,Mid!AG$5:AG$167)</f>
        <v>0</v>
      </c>
      <c r="M54">
        <f ca="1">SUMIF(Top!$W$5:$W$168,$B54,Top!AH$5:AH$167)+SUMIF(Mid!$W$5:$W$168,$B54,Mid!AH$5:AH$167)</f>
        <v>0</v>
      </c>
      <c r="N54">
        <f ca="1">SUMIF(Top!$W$5:$W$168,$B54,Top!AI$5:AI$167)+SUMIF(Mid!$W$5:$W$168,$B54,Mid!AI$5:AI$167)</f>
        <v>0</v>
      </c>
      <c r="O54">
        <f ca="1">SUMIF(Top!$W$5:$W$168,$B54,Top!AJ$5:AJ$167)+SUMIF(Mid!$W$5:$W$168,$B54,Mid!AJ$5:AJ$167)</f>
        <v>0</v>
      </c>
      <c r="P54">
        <f ca="1">SUMIF(Top!$W$5:$W$168,$B54,Top!AK$5:AK$167)+SUMIF(Mid!$W$5:$W$168,$B54,Mid!AK$5:AK$167)</f>
        <v>0</v>
      </c>
      <c r="Q54">
        <f t="shared" ca="1" si="0"/>
        <v>16</v>
      </c>
      <c r="R54" s="17">
        <f t="shared" ca="1" si="1"/>
        <v>16</v>
      </c>
    </row>
    <row r="55" spans="2:18" x14ac:dyDescent="0.25">
      <c r="B55" t="s">
        <v>29</v>
      </c>
      <c r="C55">
        <f ca="1">SUMIF(Top!$W$5:$W$168,$B55,Top!X$5:X$167)+SUMIF(Mid!$W$5:$W$168,$B55,Mid!X$5:X$167)</f>
        <v>0</v>
      </c>
      <c r="D55">
        <f ca="1">SUMIF(Top!$W$5:$W$168,$B55,Top!Y$5:Y$167)+SUMIF(Mid!$W$5:$W$168,$B55,Mid!Y$5:Y$167)</f>
        <v>0</v>
      </c>
      <c r="E55">
        <f ca="1">SUMIF(Top!$W$5:$W$168,$B55,Top!Z$5:Z$167)+SUMIF(Mid!$W$5:$W$168,$B55,Mid!Z$5:Z$167)</f>
        <v>21</v>
      </c>
      <c r="F55">
        <f ca="1">SUMIF(Top!$W$5:$W$168,$B55,Top!AA$5:AA$167)+SUMIF(Mid!$W$5:$W$168,$B55,Mid!AA$5:AA$167)</f>
        <v>16</v>
      </c>
      <c r="G55">
        <f ca="1">SUMIF(Top!$W$5:$W$168,$B55,Top!AB$5:AB$167)+SUMIF(Mid!$W$5:$W$168,$B55,Mid!AB$5:AB$167)</f>
        <v>0</v>
      </c>
      <c r="H55">
        <f ca="1">SUMIF(Top!$W$5:$W$168,$B55,Top!AC$5:AC$167)+SUMIF(Mid!$W$5:$W$168,$B55,Mid!AC$5:AC$167)</f>
        <v>0</v>
      </c>
      <c r="I55">
        <f ca="1">SUMIF(Top!$W$5:$W$168,$B55,Top!AD$5:AD$167)+SUMIF(Mid!$W$5:$W$168,$B55,Mid!AD$5:AD$167)</f>
        <v>0</v>
      </c>
      <c r="J55">
        <f ca="1">SUMIF(Top!$W$5:$W$168,$B55,Top!AE$5:AE$167)+SUMIF(Mid!$W$5:$W$168,$B55,Mid!AE$5:AE$167)</f>
        <v>0</v>
      </c>
      <c r="K55">
        <f ca="1">SUMIF(Top!$W$5:$W$168,$B55,Top!AF$5:AF$167)+SUMIF(Mid!$W$5:$W$168,$B55,Mid!AF$5:AF$167)</f>
        <v>0</v>
      </c>
      <c r="L55">
        <f ca="1">SUMIF(Top!$W$5:$W$168,$B55,Top!AG$5:AG$167)+SUMIF(Mid!$W$5:$W$168,$B55,Mid!AG$5:AG$167)</f>
        <v>0</v>
      </c>
      <c r="M55">
        <f ca="1">SUMIF(Top!$W$5:$W$168,$B55,Top!AH$5:AH$167)+SUMIF(Mid!$W$5:$W$168,$B55,Mid!AH$5:AH$167)</f>
        <v>0</v>
      </c>
      <c r="N55">
        <f ca="1">SUMIF(Top!$W$5:$W$168,$B55,Top!AI$5:AI$167)+SUMIF(Mid!$W$5:$W$168,$B55,Mid!AI$5:AI$167)</f>
        <v>0</v>
      </c>
      <c r="O55">
        <f ca="1">SUMIF(Top!$W$5:$W$168,$B55,Top!AJ$5:AJ$167)+SUMIF(Mid!$W$5:$W$168,$B55,Mid!AJ$5:AJ$167)</f>
        <v>0</v>
      </c>
      <c r="P55">
        <f ca="1">SUMIF(Top!$W$5:$W$168,$B55,Top!AK$5:AK$167)+SUMIF(Mid!$W$5:$W$168,$B55,Mid!AK$5:AK$167)</f>
        <v>0</v>
      </c>
      <c r="Q55">
        <f t="shared" ca="1" si="0"/>
        <v>37</v>
      </c>
      <c r="R55" s="17">
        <f t="shared" ca="1" si="1"/>
        <v>18.5</v>
      </c>
    </row>
    <row r="56" spans="2:18" x14ac:dyDescent="0.25">
      <c r="B56" t="s">
        <v>30</v>
      </c>
      <c r="C56">
        <f ca="1">SUMIF(Top!$W$5:$W$168,$B56,Top!X$5:X$167)+SUMIF(Mid!$W$5:$W$168,$B56,Mid!X$5:X$167)</f>
        <v>1</v>
      </c>
      <c r="D56">
        <f ca="1">SUMIF(Top!$W$5:$W$168,$B56,Top!Y$5:Y$167)+SUMIF(Mid!$W$5:$W$168,$B56,Mid!Y$5:Y$167)</f>
        <v>0</v>
      </c>
      <c r="E56">
        <f ca="1">SUMIF(Top!$W$5:$W$168,$B56,Top!Z$5:Z$167)+SUMIF(Mid!$W$5:$W$168,$B56,Mid!Z$5:Z$167)</f>
        <v>0</v>
      </c>
      <c r="F56">
        <f ca="1">SUMIF(Top!$W$5:$W$168,$B56,Top!AA$5:AA$167)+SUMIF(Mid!$W$5:$W$168,$B56,Mid!AA$5:AA$167)</f>
        <v>15</v>
      </c>
      <c r="G56">
        <f ca="1">SUMIF(Top!$W$5:$W$168,$B56,Top!AB$5:AB$167)+SUMIF(Mid!$W$5:$W$168,$B56,Mid!AB$5:AB$167)</f>
        <v>0</v>
      </c>
      <c r="H56">
        <f ca="1">SUMIF(Top!$W$5:$W$168,$B56,Top!AC$5:AC$167)+SUMIF(Mid!$W$5:$W$168,$B56,Mid!AC$5:AC$167)</f>
        <v>0</v>
      </c>
      <c r="I56">
        <f ca="1">SUMIF(Top!$W$5:$W$168,$B56,Top!AD$5:AD$167)+SUMIF(Mid!$W$5:$W$168,$B56,Mid!AD$5:AD$167)</f>
        <v>0</v>
      </c>
      <c r="J56">
        <f ca="1">SUMIF(Top!$W$5:$W$168,$B56,Top!AE$5:AE$167)+SUMIF(Mid!$W$5:$W$168,$B56,Mid!AE$5:AE$167)</f>
        <v>0</v>
      </c>
      <c r="K56">
        <f ca="1">SUMIF(Top!$W$5:$W$168,$B56,Top!AF$5:AF$167)+SUMIF(Mid!$W$5:$W$168,$B56,Mid!AF$5:AF$167)</f>
        <v>0</v>
      </c>
      <c r="L56">
        <f ca="1">SUMIF(Top!$W$5:$W$168,$B56,Top!AG$5:AG$167)+SUMIF(Mid!$W$5:$W$168,$B56,Mid!AG$5:AG$167)</f>
        <v>0</v>
      </c>
      <c r="M56">
        <f ca="1">SUMIF(Top!$W$5:$W$168,$B56,Top!AH$5:AH$167)+SUMIF(Mid!$W$5:$W$168,$B56,Mid!AH$5:AH$167)</f>
        <v>0</v>
      </c>
      <c r="N56">
        <f ca="1">SUMIF(Top!$W$5:$W$168,$B56,Top!AI$5:AI$167)+SUMIF(Mid!$W$5:$W$168,$B56,Mid!AI$5:AI$167)</f>
        <v>0</v>
      </c>
      <c r="O56">
        <f ca="1">SUMIF(Top!$W$5:$W$168,$B56,Top!AJ$5:AJ$167)+SUMIF(Mid!$W$5:$W$168,$B56,Mid!AJ$5:AJ$167)</f>
        <v>0</v>
      </c>
      <c r="P56">
        <f ca="1">SUMIF(Top!$W$5:$W$168,$B56,Top!AK$5:AK$167)+SUMIF(Mid!$W$5:$W$168,$B56,Mid!AK$5:AK$167)</f>
        <v>0</v>
      </c>
      <c r="Q56">
        <f t="shared" ca="1" si="0"/>
        <v>16</v>
      </c>
      <c r="R56" s="17">
        <f t="shared" ca="1" si="1"/>
        <v>8</v>
      </c>
    </row>
    <row r="57" spans="2:18" x14ac:dyDescent="0.25">
      <c r="B57" t="s">
        <v>50</v>
      </c>
      <c r="C57">
        <f ca="1">SUMIF(Top!$W$5:$W$168,$B57,Top!X$5:X$167)+SUMIF(Mid!$W$5:$W$168,$B57,Mid!X$5:X$167)</f>
        <v>0</v>
      </c>
      <c r="D57">
        <f ca="1">SUMIF(Top!$W$5:$W$168,$B57,Top!Y$5:Y$167)+SUMIF(Mid!$W$5:$W$168,$B57,Mid!Y$5:Y$167)</f>
        <v>15</v>
      </c>
      <c r="E57">
        <f ca="1">SUMIF(Top!$W$5:$W$168,$B57,Top!Z$5:Z$167)+SUMIF(Mid!$W$5:$W$168,$B57,Mid!Z$5:Z$167)</f>
        <v>0</v>
      </c>
      <c r="F57">
        <f ca="1">SUMIF(Top!$W$5:$W$168,$B57,Top!AA$5:AA$167)+SUMIF(Mid!$W$5:$W$168,$B57,Mid!AA$5:AA$167)</f>
        <v>0</v>
      </c>
      <c r="G57">
        <f ca="1">SUMIF(Top!$W$5:$W$168,$B57,Top!AB$5:AB$167)+SUMIF(Mid!$W$5:$W$168,$B57,Mid!AB$5:AB$167)</f>
        <v>0</v>
      </c>
      <c r="H57">
        <f ca="1">SUMIF(Top!$W$5:$W$168,$B57,Top!AC$5:AC$167)+SUMIF(Mid!$W$5:$W$168,$B57,Mid!AC$5:AC$167)</f>
        <v>0</v>
      </c>
      <c r="I57">
        <f ca="1">SUMIF(Top!$W$5:$W$168,$B57,Top!AD$5:AD$167)+SUMIF(Mid!$W$5:$W$168,$B57,Mid!AD$5:AD$167)</f>
        <v>0</v>
      </c>
      <c r="J57">
        <f ca="1">SUMIF(Top!$W$5:$W$168,$B57,Top!AE$5:AE$167)+SUMIF(Mid!$W$5:$W$168,$B57,Mid!AE$5:AE$167)</f>
        <v>0</v>
      </c>
      <c r="K57">
        <f ca="1">SUMIF(Top!$W$5:$W$168,$B57,Top!AF$5:AF$167)+SUMIF(Mid!$W$5:$W$168,$B57,Mid!AF$5:AF$167)</f>
        <v>0</v>
      </c>
      <c r="L57">
        <f ca="1">SUMIF(Top!$W$5:$W$168,$B57,Top!AG$5:AG$167)+SUMIF(Mid!$W$5:$W$168,$B57,Mid!AG$5:AG$167)</f>
        <v>0</v>
      </c>
      <c r="M57">
        <f ca="1">SUMIF(Top!$W$5:$W$168,$B57,Top!AH$5:AH$167)+SUMIF(Mid!$W$5:$W$168,$B57,Mid!AH$5:AH$167)</f>
        <v>0</v>
      </c>
      <c r="N57">
        <f ca="1">SUMIF(Top!$W$5:$W$168,$B57,Top!AI$5:AI$167)+SUMIF(Mid!$W$5:$W$168,$B57,Mid!AI$5:AI$167)</f>
        <v>0</v>
      </c>
      <c r="O57">
        <f ca="1">SUMIF(Top!$W$5:$W$168,$B57,Top!AJ$5:AJ$167)+SUMIF(Mid!$W$5:$W$168,$B57,Mid!AJ$5:AJ$167)</f>
        <v>0</v>
      </c>
      <c r="P57">
        <f ca="1">SUMIF(Top!$W$5:$W$168,$B57,Top!AK$5:AK$167)+SUMIF(Mid!$W$5:$W$168,$B57,Mid!AK$5:AK$167)</f>
        <v>0</v>
      </c>
      <c r="Q57">
        <f t="shared" ca="1" si="0"/>
        <v>15</v>
      </c>
      <c r="R57" s="17">
        <f t="shared" ca="1" si="1"/>
        <v>15</v>
      </c>
    </row>
    <row r="58" spans="2:18" x14ac:dyDescent="0.25">
      <c r="B58" t="s">
        <v>42</v>
      </c>
      <c r="C58">
        <f ca="1">SUMIF(Top!$W$5:$W$168,$B58,Top!X$5:X$167)+SUMIF(Mid!$W$5:$W$168,$B58,Mid!X$5:X$167)</f>
        <v>0</v>
      </c>
      <c r="D58">
        <f ca="1">SUMIF(Top!$W$5:$W$168,$B58,Top!Y$5:Y$167)+SUMIF(Mid!$W$5:$W$168,$B58,Mid!Y$5:Y$167)</f>
        <v>14</v>
      </c>
      <c r="E58">
        <f ca="1">SUMIF(Top!$W$5:$W$168,$B58,Top!Z$5:Z$167)+SUMIF(Mid!$W$5:$W$168,$B58,Mid!Z$5:Z$167)</f>
        <v>0</v>
      </c>
      <c r="F58">
        <f ca="1">SUMIF(Top!$W$5:$W$168,$B58,Top!AA$5:AA$167)+SUMIF(Mid!$W$5:$W$168,$B58,Mid!AA$5:AA$167)</f>
        <v>0</v>
      </c>
      <c r="G58">
        <f ca="1">SUMIF(Top!$W$5:$W$168,$B58,Top!AB$5:AB$167)+SUMIF(Mid!$W$5:$W$168,$B58,Mid!AB$5:AB$167)</f>
        <v>0</v>
      </c>
      <c r="H58">
        <f ca="1">SUMIF(Top!$W$5:$W$168,$B58,Top!AC$5:AC$167)+SUMIF(Mid!$W$5:$W$168,$B58,Mid!AC$5:AC$167)</f>
        <v>0</v>
      </c>
      <c r="I58">
        <f ca="1">SUMIF(Top!$W$5:$W$168,$B58,Top!AD$5:AD$167)+SUMIF(Mid!$W$5:$W$168,$B58,Mid!AD$5:AD$167)</f>
        <v>0</v>
      </c>
      <c r="J58">
        <f ca="1">SUMIF(Top!$W$5:$W$168,$B58,Top!AE$5:AE$167)+SUMIF(Mid!$W$5:$W$168,$B58,Mid!AE$5:AE$167)</f>
        <v>0</v>
      </c>
      <c r="K58">
        <f ca="1">SUMIF(Top!$W$5:$W$168,$B58,Top!AF$5:AF$167)+SUMIF(Mid!$W$5:$W$168,$B58,Mid!AF$5:AF$167)</f>
        <v>0</v>
      </c>
      <c r="L58">
        <f ca="1">SUMIF(Top!$W$5:$W$168,$B58,Top!AG$5:AG$167)+SUMIF(Mid!$W$5:$W$168,$B58,Mid!AG$5:AG$167)</f>
        <v>0</v>
      </c>
      <c r="M58">
        <f ca="1">SUMIF(Top!$W$5:$W$168,$B58,Top!AH$5:AH$167)+SUMIF(Mid!$W$5:$W$168,$B58,Mid!AH$5:AH$167)</f>
        <v>0</v>
      </c>
      <c r="N58">
        <f ca="1">SUMIF(Top!$W$5:$W$168,$B58,Top!AI$5:AI$167)+SUMIF(Mid!$W$5:$W$168,$B58,Mid!AI$5:AI$167)</f>
        <v>0</v>
      </c>
      <c r="O58">
        <f ca="1">SUMIF(Top!$W$5:$W$168,$B58,Top!AJ$5:AJ$167)+SUMIF(Mid!$W$5:$W$168,$B58,Mid!AJ$5:AJ$167)</f>
        <v>0</v>
      </c>
      <c r="P58">
        <f ca="1">SUMIF(Top!$W$5:$W$168,$B58,Top!AK$5:AK$167)+SUMIF(Mid!$W$5:$W$168,$B58,Mid!AK$5:AK$167)</f>
        <v>0</v>
      </c>
      <c r="Q58">
        <f t="shared" ca="1" si="0"/>
        <v>14</v>
      </c>
      <c r="R58" s="17">
        <f t="shared" ca="1" si="1"/>
        <v>14</v>
      </c>
    </row>
    <row r="59" spans="2:18" x14ac:dyDescent="0.25">
      <c r="B59" t="s">
        <v>39</v>
      </c>
      <c r="C59">
        <f ca="1">SUMIF(Top!$W$5:$W$168,$B59,Top!X$5:X$167)+SUMIF(Mid!$W$5:$W$168,$B59,Mid!X$5:X$167)</f>
        <v>0</v>
      </c>
      <c r="D59">
        <f ca="1">SUMIF(Top!$W$5:$W$168,$B59,Top!Y$5:Y$167)+SUMIF(Mid!$W$5:$W$168,$B59,Mid!Y$5:Y$167)</f>
        <v>0</v>
      </c>
      <c r="E59">
        <f ca="1">SUMIF(Top!$W$5:$W$168,$B59,Top!Z$5:Z$167)+SUMIF(Mid!$W$5:$W$168,$B59,Mid!Z$5:Z$167)</f>
        <v>14</v>
      </c>
      <c r="F59">
        <f ca="1">SUMIF(Top!$W$5:$W$168,$B59,Top!AA$5:AA$167)+SUMIF(Mid!$W$5:$W$168,$B59,Mid!AA$5:AA$167)</f>
        <v>0</v>
      </c>
      <c r="G59">
        <f ca="1">SUMIF(Top!$W$5:$W$168,$B59,Top!AB$5:AB$167)+SUMIF(Mid!$W$5:$W$168,$B59,Mid!AB$5:AB$167)</f>
        <v>0</v>
      </c>
      <c r="H59">
        <f ca="1">SUMIF(Top!$W$5:$W$168,$B59,Top!AC$5:AC$167)+SUMIF(Mid!$W$5:$W$168,$B59,Mid!AC$5:AC$167)</f>
        <v>0</v>
      </c>
      <c r="I59">
        <f ca="1">SUMIF(Top!$W$5:$W$168,$B59,Top!AD$5:AD$167)+SUMIF(Mid!$W$5:$W$168,$B59,Mid!AD$5:AD$167)</f>
        <v>0</v>
      </c>
      <c r="J59">
        <f ca="1">SUMIF(Top!$W$5:$W$168,$B59,Top!AE$5:AE$167)+SUMIF(Mid!$W$5:$W$168,$B59,Mid!AE$5:AE$167)</f>
        <v>0</v>
      </c>
      <c r="K59">
        <f ca="1">SUMIF(Top!$W$5:$W$168,$B59,Top!AF$5:AF$167)+SUMIF(Mid!$W$5:$W$168,$B59,Mid!AF$5:AF$167)</f>
        <v>0</v>
      </c>
      <c r="L59">
        <f ca="1">SUMIF(Top!$W$5:$W$168,$B59,Top!AG$5:AG$167)+SUMIF(Mid!$W$5:$W$168,$B59,Mid!AG$5:AG$167)</f>
        <v>0</v>
      </c>
      <c r="M59">
        <f ca="1">SUMIF(Top!$W$5:$W$168,$B59,Top!AH$5:AH$167)+SUMIF(Mid!$W$5:$W$168,$B59,Mid!AH$5:AH$167)</f>
        <v>0</v>
      </c>
      <c r="N59">
        <f ca="1">SUMIF(Top!$W$5:$W$168,$B59,Top!AI$5:AI$167)+SUMIF(Mid!$W$5:$W$168,$B59,Mid!AI$5:AI$167)</f>
        <v>0</v>
      </c>
      <c r="O59">
        <f ca="1">SUMIF(Top!$W$5:$W$168,$B59,Top!AJ$5:AJ$167)+SUMIF(Mid!$W$5:$W$168,$B59,Mid!AJ$5:AJ$167)</f>
        <v>0</v>
      </c>
      <c r="P59">
        <f ca="1">SUMIF(Top!$W$5:$W$168,$B59,Top!AK$5:AK$167)+SUMIF(Mid!$W$5:$W$168,$B59,Mid!AK$5:AK$167)</f>
        <v>0</v>
      </c>
      <c r="Q59">
        <f t="shared" ca="1" si="0"/>
        <v>14</v>
      </c>
      <c r="R59" s="17">
        <f t="shared" ca="1" si="1"/>
        <v>14</v>
      </c>
    </row>
    <row r="60" spans="2:18" x14ac:dyDescent="0.25">
      <c r="B60" t="s">
        <v>31</v>
      </c>
      <c r="C60">
        <f ca="1">SUMIF(Top!$W$5:$W$168,$B60,Top!X$5:X$167)+SUMIF(Mid!$W$5:$W$168,$B60,Mid!X$5:X$167)</f>
        <v>20</v>
      </c>
      <c r="D60">
        <f ca="1">SUMIF(Top!$W$5:$W$168,$B60,Top!Y$5:Y$167)+SUMIF(Mid!$W$5:$W$168,$B60,Mid!Y$5:Y$167)</f>
        <v>0</v>
      </c>
      <c r="E60">
        <f ca="1">SUMIF(Top!$W$5:$W$168,$B60,Top!Z$5:Z$167)+SUMIF(Mid!$W$5:$W$168,$B60,Mid!Z$5:Z$167)</f>
        <v>0</v>
      </c>
      <c r="F60">
        <f ca="1">SUMIF(Top!$W$5:$W$168,$B60,Top!AA$5:AA$167)+SUMIF(Mid!$W$5:$W$168,$B60,Mid!AA$5:AA$167)</f>
        <v>14</v>
      </c>
      <c r="G60">
        <f ca="1">SUMIF(Top!$W$5:$W$168,$B60,Top!AB$5:AB$167)+SUMIF(Mid!$W$5:$W$168,$B60,Mid!AB$5:AB$167)</f>
        <v>0</v>
      </c>
      <c r="H60">
        <f ca="1">SUMIF(Top!$W$5:$W$168,$B60,Top!AC$5:AC$167)+SUMIF(Mid!$W$5:$W$168,$B60,Mid!AC$5:AC$167)</f>
        <v>0</v>
      </c>
      <c r="I60">
        <f ca="1">SUMIF(Top!$W$5:$W$168,$B60,Top!AD$5:AD$167)+SUMIF(Mid!$W$5:$W$168,$B60,Mid!AD$5:AD$167)</f>
        <v>0</v>
      </c>
      <c r="J60">
        <f ca="1">SUMIF(Top!$W$5:$W$168,$B60,Top!AE$5:AE$167)+SUMIF(Mid!$W$5:$W$168,$B60,Mid!AE$5:AE$167)</f>
        <v>0</v>
      </c>
      <c r="K60">
        <f ca="1">SUMIF(Top!$W$5:$W$168,$B60,Top!AF$5:AF$167)+SUMIF(Mid!$W$5:$W$168,$B60,Mid!AF$5:AF$167)</f>
        <v>0</v>
      </c>
      <c r="L60">
        <f ca="1">SUMIF(Top!$W$5:$W$168,$B60,Top!AG$5:AG$167)+SUMIF(Mid!$W$5:$W$168,$B60,Mid!AG$5:AG$167)</f>
        <v>0</v>
      </c>
      <c r="M60">
        <f ca="1">SUMIF(Top!$W$5:$W$168,$B60,Top!AH$5:AH$167)+SUMIF(Mid!$W$5:$W$168,$B60,Mid!AH$5:AH$167)</f>
        <v>0</v>
      </c>
      <c r="N60">
        <f ca="1">SUMIF(Top!$W$5:$W$168,$B60,Top!AI$5:AI$167)+SUMIF(Mid!$W$5:$W$168,$B60,Mid!AI$5:AI$167)</f>
        <v>0</v>
      </c>
      <c r="O60">
        <f ca="1">SUMIF(Top!$W$5:$W$168,$B60,Top!AJ$5:AJ$167)+SUMIF(Mid!$W$5:$W$168,$B60,Mid!AJ$5:AJ$167)</f>
        <v>0</v>
      </c>
      <c r="P60">
        <f ca="1">SUMIF(Top!$W$5:$W$168,$B60,Top!AK$5:AK$167)+SUMIF(Mid!$W$5:$W$168,$B60,Mid!AK$5:AK$167)</f>
        <v>0</v>
      </c>
      <c r="Q60">
        <f t="shared" ca="1" si="0"/>
        <v>34</v>
      </c>
      <c r="R60" s="17">
        <f t="shared" ca="1" si="1"/>
        <v>17</v>
      </c>
    </row>
    <row r="61" spans="2:18" x14ac:dyDescent="0.25">
      <c r="B61" t="s">
        <v>328</v>
      </c>
      <c r="C61">
        <f ca="1">SUMIF(Top!$W$5:$W$168,$B61,Top!X$5:X$167)+SUMIF(Mid!$W$5:$W$168,$B61,Mid!X$5:X$167)</f>
        <v>0</v>
      </c>
      <c r="D61">
        <f ca="1">SUMIF(Top!$W$5:$W$168,$B61,Top!Y$5:Y$167)+SUMIF(Mid!$W$5:$W$168,$B61,Mid!Y$5:Y$167)</f>
        <v>0</v>
      </c>
      <c r="E61">
        <f ca="1">SUMIF(Top!$W$5:$W$168,$B61,Top!Z$5:Z$167)+SUMIF(Mid!$W$5:$W$168,$B61,Mid!Z$5:Z$167)</f>
        <v>0</v>
      </c>
      <c r="F61">
        <f ca="1">SUMIF(Top!$W$5:$W$168,$B61,Top!AA$5:AA$167)+SUMIF(Mid!$W$5:$W$168,$B61,Mid!AA$5:AA$167)</f>
        <v>0</v>
      </c>
      <c r="G61">
        <f ca="1">SUMIF(Top!$W$5:$W$168,$B61,Top!AB$5:AB$167)+SUMIF(Mid!$W$5:$W$168,$B61,Mid!AB$5:AB$167)</f>
        <v>0</v>
      </c>
      <c r="H61">
        <f ca="1">SUMIF(Top!$W$5:$W$168,$B61,Top!AC$5:AC$167)+SUMIF(Mid!$W$5:$W$168,$B61,Mid!AC$5:AC$167)</f>
        <v>0</v>
      </c>
      <c r="I61">
        <f ca="1">SUMIF(Top!$W$5:$W$168,$B61,Top!AD$5:AD$167)+SUMIF(Mid!$W$5:$W$168,$B61,Mid!AD$5:AD$167)</f>
        <v>0</v>
      </c>
      <c r="J61">
        <f ca="1">SUMIF(Top!$W$5:$W$168,$B61,Top!AE$5:AE$167)+SUMIF(Mid!$W$5:$W$168,$B61,Mid!AE$5:AE$167)</f>
        <v>0</v>
      </c>
      <c r="K61">
        <f ca="1">SUMIF(Top!$W$5:$W$168,$B61,Top!AF$5:AF$167)+SUMIF(Mid!$W$5:$W$168,$B61,Mid!AF$5:AF$167)</f>
        <v>0</v>
      </c>
      <c r="L61">
        <f ca="1">SUMIF(Top!$W$5:$W$168,$B61,Top!AG$5:AG$167)+SUMIF(Mid!$W$5:$W$168,$B61,Mid!AG$5:AG$167)</f>
        <v>0</v>
      </c>
      <c r="M61">
        <f ca="1">SUMIF(Top!$W$5:$W$168,$B61,Top!AH$5:AH$167)+SUMIF(Mid!$W$5:$W$168,$B61,Mid!AH$5:AH$167)</f>
        <v>0</v>
      </c>
      <c r="N61">
        <f ca="1">SUMIF(Top!$W$5:$W$168,$B61,Top!AI$5:AI$167)+SUMIF(Mid!$W$5:$W$168,$B61,Mid!AI$5:AI$167)</f>
        <v>0</v>
      </c>
      <c r="O61">
        <f ca="1">SUMIF(Top!$W$5:$W$168,$B61,Top!AJ$5:AJ$167)+SUMIF(Mid!$W$5:$W$168,$B61,Mid!AJ$5:AJ$167)</f>
        <v>0</v>
      </c>
      <c r="P61">
        <f ca="1">SUMIF(Top!$W$5:$W$168,$B61,Top!AK$5:AK$167)+SUMIF(Mid!$W$5:$W$168,$B61,Mid!AK$5:AK$167)</f>
        <v>0</v>
      </c>
      <c r="Q61">
        <f t="shared" ca="1" si="0"/>
        <v>0</v>
      </c>
      <c r="R61" s="17">
        <f t="shared" ca="1" si="1"/>
        <v>0</v>
      </c>
    </row>
    <row r="62" spans="2:18" x14ac:dyDescent="0.25">
      <c r="B62" t="s">
        <v>329</v>
      </c>
      <c r="C62">
        <f ca="1">SUMIF(Top!$W$5:$W$168,$B62,Top!X$5:X$167)+SUMIF(Mid!$W$5:$W$168,$B62,Mid!X$5:X$167)</f>
        <v>0</v>
      </c>
      <c r="D62">
        <f ca="1">SUMIF(Top!$W$5:$W$168,$B62,Top!Y$5:Y$167)+SUMIF(Mid!$W$5:$W$168,$B62,Mid!Y$5:Y$167)</f>
        <v>0</v>
      </c>
      <c r="E62">
        <f ca="1">SUMIF(Top!$W$5:$W$168,$B62,Top!Z$5:Z$167)+SUMIF(Mid!$W$5:$W$168,$B62,Mid!Z$5:Z$167)</f>
        <v>0</v>
      </c>
      <c r="F62">
        <f ca="1">SUMIF(Top!$W$5:$W$168,$B62,Top!AA$5:AA$167)+SUMIF(Mid!$W$5:$W$168,$B62,Mid!AA$5:AA$167)</f>
        <v>0</v>
      </c>
      <c r="G62">
        <f ca="1">SUMIF(Top!$W$5:$W$168,$B62,Top!AB$5:AB$167)+SUMIF(Mid!$W$5:$W$168,$B62,Mid!AB$5:AB$167)</f>
        <v>0</v>
      </c>
      <c r="H62">
        <f ca="1">SUMIF(Top!$W$5:$W$168,$B62,Top!AC$5:AC$167)+SUMIF(Mid!$W$5:$W$168,$B62,Mid!AC$5:AC$167)</f>
        <v>0</v>
      </c>
      <c r="I62">
        <f ca="1">SUMIF(Top!$W$5:$W$168,$B62,Top!AD$5:AD$167)+SUMIF(Mid!$W$5:$W$168,$B62,Mid!AD$5:AD$167)</f>
        <v>0</v>
      </c>
      <c r="J62">
        <f ca="1">SUMIF(Top!$W$5:$W$168,$B62,Top!AE$5:AE$167)+SUMIF(Mid!$W$5:$W$168,$B62,Mid!AE$5:AE$167)</f>
        <v>0</v>
      </c>
      <c r="K62">
        <f ca="1">SUMIF(Top!$W$5:$W$168,$B62,Top!AF$5:AF$167)+SUMIF(Mid!$W$5:$W$168,$B62,Mid!AF$5:AF$167)</f>
        <v>0</v>
      </c>
      <c r="L62">
        <f ca="1">SUMIF(Top!$W$5:$W$168,$B62,Top!AG$5:AG$167)+SUMIF(Mid!$W$5:$W$168,$B62,Mid!AG$5:AG$167)</f>
        <v>0</v>
      </c>
      <c r="M62">
        <f ca="1">SUMIF(Top!$W$5:$W$168,$B62,Top!AH$5:AH$167)+SUMIF(Mid!$W$5:$W$168,$B62,Mid!AH$5:AH$167)</f>
        <v>0</v>
      </c>
      <c r="N62">
        <f ca="1">SUMIF(Top!$W$5:$W$168,$B62,Top!AI$5:AI$167)+SUMIF(Mid!$W$5:$W$168,$B62,Mid!AI$5:AI$167)</f>
        <v>0</v>
      </c>
      <c r="O62">
        <f ca="1">SUMIF(Top!$W$5:$W$168,$B62,Top!AJ$5:AJ$167)+SUMIF(Mid!$W$5:$W$168,$B62,Mid!AJ$5:AJ$167)</f>
        <v>0</v>
      </c>
      <c r="P62">
        <f ca="1">SUMIF(Top!$W$5:$W$168,$B62,Top!AK$5:AK$167)+SUMIF(Mid!$W$5:$W$168,$B62,Mid!AK$5:AK$167)</f>
        <v>0</v>
      </c>
      <c r="Q62">
        <f t="shared" ca="1" si="0"/>
        <v>0</v>
      </c>
      <c r="R62" s="17">
        <f t="shared" ca="1" si="1"/>
        <v>0</v>
      </c>
    </row>
    <row r="63" spans="2:18" x14ac:dyDescent="0.25">
      <c r="B63" t="s">
        <v>330</v>
      </c>
      <c r="C63">
        <f ca="1">SUMIF(Top!$W$5:$W$168,$B63,Top!X$5:X$167)+SUMIF(Mid!$W$5:$W$168,$B63,Mid!X$5:X$167)</f>
        <v>0</v>
      </c>
      <c r="D63">
        <f ca="1">SUMIF(Top!$W$5:$W$168,$B63,Top!Y$5:Y$167)+SUMIF(Mid!$W$5:$W$168,$B63,Mid!Y$5:Y$167)</f>
        <v>0</v>
      </c>
      <c r="E63">
        <f ca="1">SUMIF(Top!$W$5:$W$168,$B63,Top!Z$5:Z$167)+SUMIF(Mid!$W$5:$W$168,$B63,Mid!Z$5:Z$167)</f>
        <v>0</v>
      </c>
      <c r="F63">
        <f ca="1">SUMIF(Top!$W$5:$W$168,$B63,Top!AA$5:AA$167)+SUMIF(Mid!$W$5:$W$168,$B63,Mid!AA$5:AA$167)</f>
        <v>0</v>
      </c>
      <c r="G63">
        <f ca="1">SUMIF(Top!$W$5:$W$168,$B63,Top!AB$5:AB$167)+SUMIF(Mid!$W$5:$W$168,$B63,Mid!AB$5:AB$167)</f>
        <v>0</v>
      </c>
      <c r="H63">
        <f ca="1">SUMIF(Top!$W$5:$W$168,$B63,Top!AC$5:AC$167)+SUMIF(Mid!$W$5:$W$168,$B63,Mid!AC$5:AC$167)</f>
        <v>0</v>
      </c>
      <c r="I63">
        <f ca="1">SUMIF(Top!$W$5:$W$168,$B63,Top!AD$5:AD$167)+SUMIF(Mid!$W$5:$W$168,$B63,Mid!AD$5:AD$167)</f>
        <v>0</v>
      </c>
      <c r="J63">
        <f ca="1">SUMIF(Top!$W$5:$W$168,$B63,Top!AE$5:AE$167)+SUMIF(Mid!$W$5:$W$168,$B63,Mid!AE$5:AE$167)</f>
        <v>0</v>
      </c>
      <c r="K63">
        <f ca="1">SUMIF(Top!$W$5:$W$168,$B63,Top!AF$5:AF$167)+SUMIF(Mid!$W$5:$W$168,$B63,Mid!AF$5:AF$167)</f>
        <v>0</v>
      </c>
      <c r="L63">
        <f ca="1">SUMIF(Top!$W$5:$W$168,$B63,Top!AG$5:AG$167)+SUMIF(Mid!$W$5:$W$168,$B63,Mid!AG$5:AG$167)</f>
        <v>0</v>
      </c>
      <c r="M63">
        <f ca="1">SUMIF(Top!$W$5:$W$168,$B63,Top!AH$5:AH$167)+SUMIF(Mid!$W$5:$W$168,$B63,Mid!AH$5:AH$167)</f>
        <v>0</v>
      </c>
      <c r="N63">
        <f ca="1">SUMIF(Top!$W$5:$W$168,$B63,Top!AI$5:AI$167)+SUMIF(Mid!$W$5:$W$168,$B63,Mid!AI$5:AI$167)</f>
        <v>0</v>
      </c>
      <c r="O63">
        <f ca="1">SUMIF(Top!$W$5:$W$168,$B63,Top!AJ$5:AJ$167)+SUMIF(Mid!$W$5:$W$168,$B63,Mid!AJ$5:AJ$167)</f>
        <v>0</v>
      </c>
      <c r="P63">
        <f ca="1">SUMIF(Top!$W$5:$W$168,$B63,Top!AK$5:AK$167)+SUMIF(Mid!$W$5:$W$168,$B63,Mid!AK$5:AK$167)</f>
        <v>0</v>
      </c>
      <c r="Q63">
        <f t="shared" ca="1" si="0"/>
        <v>0</v>
      </c>
      <c r="R63" s="17">
        <f t="shared" ca="1" si="1"/>
        <v>0</v>
      </c>
    </row>
    <row r="64" spans="2:18" x14ac:dyDescent="0.25">
      <c r="B64" t="s">
        <v>331</v>
      </c>
      <c r="C64">
        <f ca="1">SUMIF(Top!$W$5:$W$168,$B64,Top!X$5:X$167)+SUMIF(Mid!$W$5:$W$168,$B64,Mid!X$5:X$167)</f>
        <v>0</v>
      </c>
      <c r="D64">
        <f ca="1">SUMIF(Top!$W$5:$W$168,$B64,Top!Y$5:Y$167)+SUMIF(Mid!$W$5:$W$168,$B64,Mid!Y$5:Y$167)</f>
        <v>0</v>
      </c>
      <c r="E64">
        <f ca="1">SUMIF(Top!$W$5:$W$168,$B64,Top!Z$5:Z$167)+SUMIF(Mid!$W$5:$W$168,$B64,Mid!Z$5:Z$167)</f>
        <v>0</v>
      </c>
      <c r="F64">
        <f ca="1">SUMIF(Top!$W$5:$W$168,$B64,Top!AA$5:AA$167)+SUMIF(Mid!$W$5:$W$168,$B64,Mid!AA$5:AA$167)</f>
        <v>0</v>
      </c>
      <c r="G64">
        <f ca="1">SUMIF(Top!$W$5:$W$168,$B64,Top!AB$5:AB$167)+SUMIF(Mid!$W$5:$W$168,$B64,Mid!AB$5:AB$167)</f>
        <v>0</v>
      </c>
      <c r="H64">
        <f ca="1">SUMIF(Top!$W$5:$W$168,$B64,Top!AC$5:AC$167)+SUMIF(Mid!$W$5:$W$168,$B64,Mid!AC$5:AC$167)</f>
        <v>0</v>
      </c>
      <c r="I64">
        <f ca="1">SUMIF(Top!$W$5:$W$168,$B64,Top!AD$5:AD$167)+SUMIF(Mid!$W$5:$W$168,$B64,Mid!AD$5:AD$167)</f>
        <v>0</v>
      </c>
      <c r="J64">
        <f ca="1">SUMIF(Top!$W$5:$W$168,$B64,Top!AE$5:AE$167)+SUMIF(Mid!$W$5:$W$168,$B64,Mid!AE$5:AE$167)</f>
        <v>0</v>
      </c>
      <c r="K64">
        <f ca="1">SUMIF(Top!$W$5:$W$168,$B64,Top!AF$5:AF$167)+SUMIF(Mid!$W$5:$W$168,$B64,Mid!AF$5:AF$167)</f>
        <v>0</v>
      </c>
      <c r="L64">
        <f ca="1">SUMIF(Top!$W$5:$W$168,$B64,Top!AG$5:AG$167)+SUMIF(Mid!$W$5:$W$168,$B64,Mid!AG$5:AG$167)</f>
        <v>0</v>
      </c>
      <c r="M64">
        <f ca="1">SUMIF(Top!$W$5:$W$168,$B64,Top!AH$5:AH$167)+SUMIF(Mid!$W$5:$W$168,$B64,Mid!AH$5:AH$167)</f>
        <v>0</v>
      </c>
      <c r="N64">
        <f ca="1">SUMIF(Top!$W$5:$W$168,$B64,Top!AI$5:AI$167)+SUMIF(Mid!$W$5:$W$168,$B64,Mid!AI$5:AI$167)</f>
        <v>0</v>
      </c>
      <c r="O64">
        <f ca="1">SUMIF(Top!$W$5:$W$168,$B64,Top!AJ$5:AJ$167)+SUMIF(Mid!$W$5:$W$168,$B64,Mid!AJ$5:AJ$167)</f>
        <v>0</v>
      </c>
      <c r="P64">
        <f ca="1">SUMIF(Top!$W$5:$W$168,$B64,Top!AK$5:AK$167)+SUMIF(Mid!$W$5:$W$168,$B64,Mid!AK$5:AK$167)</f>
        <v>0</v>
      </c>
      <c r="Q64">
        <f t="shared" ca="1" si="0"/>
        <v>0</v>
      </c>
      <c r="R64" s="17">
        <f t="shared" ca="1" si="1"/>
        <v>0</v>
      </c>
    </row>
    <row r="65" spans="2:18" x14ac:dyDescent="0.25">
      <c r="B65" t="s">
        <v>332</v>
      </c>
      <c r="C65">
        <f ca="1">SUMIF(Top!$W$5:$W$168,$B65,Top!X$5:X$167)+SUMIF(Mid!$W$5:$W$168,$B65,Mid!X$5:X$167)</f>
        <v>0</v>
      </c>
      <c r="D65">
        <f ca="1">SUMIF(Top!$W$5:$W$168,$B65,Top!Y$5:Y$167)+SUMIF(Mid!$W$5:$W$168,$B65,Mid!Y$5:Y$167)</f>
        <v>0</v>
      </c>
      <c r="E65">
        <f ca="1">SUMIF(Top!$W$5:$W$168,$B65,Top!Z$5:Z$167)+SUMIF(Mid!$W$5:$W$168,$B65,Mid!Z$5:Z$167)</f>
        <v>0</v>
      </c>
      <c r="F65">
        <f ca="1">SUMIF(Top!$W$5:$W$168,$B65,Top!AA$5:AA$167)+SUMIF(Mid!$W$5:$W$168,$B65,Mid!AA$5:AA$167)</f>
        <v>0</v>
      </c>
      <c r="G65">
        <f ca="1">SUMIF(Top!$W$5:$W$168,$B65,Top!AB$5:AB$167)+SUMIF(Mid!$W$5:$W$168,$B65,Mid!AB$5:AB$167)</f>
        <v>0</v>
      </c>
      <c r="H65">
        <f ca="1">SUMIF(Top!$W$5:$W$168,$B65,Top!AC$5:AC$167)+SUMIF(Mid!$W$5:$W$168,$B65,Mid!AC$5:AC$167)</f>
        <v>0</v>
      </c>
      <c r="I65">
        <f ca="1">SUMIF(Top!$W$5:$W$168,$B65,Top!AD$5:AD$167)+SUMIF(Mid!$W$5:$W$168,$B65,Mid!AD$5:AD$167)</f>
        <v>0</v>
      </c>
      <c r="J65">
        <f ca="1">SUMIF(Top!$W$5:$W$168,$B65,Top!AE$5:AE$167)+SUMIF(Mid!$W$5:$W$168,$B65,Mid!AE$5:AE$167)</f>
        <v>0</v>
      </c>
      <c r="K65">
        <f ca="1">SUMIF(Top!$W$5:$W$168,$B65,Top!AF$5:AF$167)+SUMIF(Mid!$W$5:$W$168,$B65,Mid!AF$5:AF$167)</f>
        <v>0</v>
      </c>
      <c r="L65">
        <f ca="1">SUMIF(Top!$W$5:$W$168,$B65,Top!AG$5:AG$167)+SUMIF(Mid!$W$5:$W$168,$B65,Mid!AG$5:AG$167)</f>
        <v>0</v>
      </c>
      <c r="M65">
        <f ca="1">SUMIF(Top!$W$5:$W$168,$B65,Top!AH$5:AH$167)+SUMIF(Mid!$W$5:$W$168,$B65,Mid!AH$5:AH$167)</f>
        <v>0</v>
      </c>
      <c r="N65">
        <f ca="1">SUMIF(Top!$W$5:$W$168,$B65,Top!AI$5:AI$167)+SUMIF(Mid!$W$5:$W$168,$B65,Mid!AI$5:AI$167)</f>
        <v>0</v>
      </c>
      <c r="O65">
        <f ca="1">SUMIF(Top!$W$5:$W$168,$B65,Top!AJ$5:AJ$167)+SUMIF(Mid!$W$5:$W$168,$B65,Mid!AJ$5:AJ$167)</f>
        <v>0</v>
      </c>
      <c r="P65">
        <f ca="1">SUMIF(Top!$W$5:$W$168,$B65,Top!AK$5:AK$167)+SUMIF(Mid!$W$5:$W$168,$B65,Mid!AK$5:AK$167)</f>
        <v>0</v>
      </c>
      <c r="Q65">
        <f t="shared" ca="1" si="0"/>
        <v>0</v>
      </c>
      <c r="R65" s="17">
        <f t="shared" ca="1" si="1"/>
        <v>0</v>
      </c>
    </row>
    <row r="66" spans="2:18" x14ac:dyDescent="0.25">
      <c r="B66" t="s">
        <v>333</v>
      </c>
      <c r="C66">
        <f ca="1">SUMIF(Top!$W$5:$W$168,$B66,Top!X$5:X$167)+SUMIF(Mid!$W$5:$W$168,$B66,Mid!X$5:X$167)</f>
        <v>0</v>
      </c>
      <c r="D66">
        <f ca="1">SUMIF(Top!$W$5:$W$168,$B66,Top!Y$5:Y$167)+SUMIF(Mid!$W$5:$W$168,$B66,Mid!Y$5:Y$167)</f>
        <v>0</v>
      </c>
      <c r="E66">
        <f ca="1">SUMIF(Top!$W$5:$W$168,$B66,Top!Z$5:Z$167)+SUMIF(Mid!$W$5:$W$168,$B66,Mid!Z$5:Z$167)</f>
        <v>0</v>
      </c>
      <c r="F66">
        <f ca="1">SUMIF(Top!$W$5:$W$168,$B66,Top!AA$5:AA$167)+SUMIF(Mid!$W$5:$W$168,$B66,Mid!AA$5:AA$167)</f>
        <v>0</v>
      </c>
      <c r="G66">
        <f ca="1">SUMIF(Top!$W$5:$W$168,$B66,Top!AB$5:AB$167)+SUMIF(Mid!$W$5:$W$168,$B66,Mid!AB$5:AB$167)</f>
        <v>0</v>
      </c>
      <c r="H66">
        <f ca="1">SUMIF(Top!$W$5:$W$168,$B66,Top!AC$5:AC$167)+SUMIF(Mid!$W$5:$W$168,$B66,Mid!AC$5:AC$167)</f>
        <v>0</v>
      </c>
      <c r="I66">
        <f ca="1">SUMIF(Top!$W$5:$W$168,$B66,Top!AD$5:AD$167)+SUMIF(Mid!$W$5:$W$168,$B66,Mid!AD$5:AD$167)</f>
        <v>0</v>
      </c>
      <c r="J66">
        <f ca="1">SUMIF(Top!$W$5:$W$168,$B66,Top!AE$5:AE$167)+SUMIF(Mid!$W$5:$W$168,$B66,Mid!AE$5:AE$167)</f>
        <v>0</v>
      </c>
      <c r="K66">
        <f ca="1">SUMIF(Top!$W$5:$W$168,$B66,Top!AF$5:AF$167)+SUMIF(Mid!$W$5:$W$168,$B66,Mid!AF$5:AF$167)</f>
        <v>0</v>
      </c>
      <c r="L66">
        <f ca="1">SUMIF(Top!$W$5:$W$168,$B66,Top!AG$5:AG$167)+SUMIF(Mid!$W$5:$W$168,$B66,Mid!AG$5:AG$167)</f>
        <v>0</v>
      </c>
      <c r="M66">
        <f ca="1">SUMIF(Top!$W$5:$W$168,$B66,Top!AH$5:AH$167)+SUMIF(Mid!$W$5:$W$168,$B66,Mid!AH$5:AH$167)</f>
        <v>0</v>
      </c>
      <c r="N66">
        <f ca="1">SUMIF(Top!$W$5:$W$168,$B66,Top!AI$5:AI$167)+SUMIF(Mid!$W$5:$W$168,$B66,Mid!AI$5:AI$167)</f>
        <v>0</v>
      </c>
      <c r="O66">
        <f ca="1">SUMIF(Top!$W$5:$W$168,$B66,Top!AJ$5:AJ$167)+SUMIF(Mid!$W$5:$W$168,$B66,Mid!AJ$5:AJ$167)</f>
        <v>0</v>
      </c>
      <c r="P66">
        <f ca="1">SUMIF(Top!$W$5:$W$168,$B66,Top!AK$5:AK$167)+SUMIF(Mid!$W$5:$W$168,$B66,Mid!AK$5:AK$167)</f>
        <v>0</v>
      </c>
      <c r="Q66">
        <f t="shared" ca="1" si="0"/>
        <v>0</v>
      </c>
      <c r="R66" s="17">
        <f t="shared" ca="1" si="1"/>
        <v>0</v>
      </c>
    </row>
    <row r="67" spans="2:18" x14ac:dyDescent="0.25">
      <c r="B67" t="s">
        <v>334</v>
      </c>
      <c r="C67">
        <f ca="1">SUMIF(Top!$W$5:$W$168,$B67,Top!X$5:X$167)+SUMIF(Mid!$W$5:$W$168,$B67,Mid!X$5:X$167)</f>
        <v>0</v>
      </c>
      <c r="D67">
        <f ca="1">SUMIF(Top!$W$5:$W$168,$B67,Top!Y$5:Y$167)+SUMIF(Mid!$W$5:$W$168,$B67,Mid!Y$5:Y$167)</f>
        <v>0</v>
      </c>
      <c r="E67">
        <f ca="1">SUMIF(Top!$W$5:$W$168,$B67,Top!Z$5:Z$167)+SUMIF(Mid!$W$5:$W$168,$B67,Mid!Z$5:Z$167)</f>
        <v>0</v>
      </c>
      <c r="F67">
        <f ca="1">SUMIF(Top!$W$5:$W$168,$B67,Top!AA$5:AA$167)+SUMIF(Mid!$W$5:$W$168,$B67,Mid!AA$5:AA$167)</f>
        <v>7</v>
      </c>
      <c r="G67">
        <f ca="1">SUMIF(Top!$W$5:$W$168,$B67,Top!AB$5:AB$167)+SUMIF(Mid!$W$5:$W$168,$B67,Mid!AB$5:AB$167)</f>
        <v>0</v>
      </c>
      <c r="H67">
        <f ca="1">SUMIF(Top!$W$5:$W$168,$B67,Top!AC$5:AC$167)+SUMIF(Mid!$W$5:$W$168,$B67,Mid!AC$5:AC$167)</f>
        <v>0</v>
      </c>
      <c r="I67">
        <f ca="1">SUMIF(Top!$W$5:$W$168,$B67,Top!AD$5:AD$167)+SUMIF(Mid!$W$5:$W$168,$B67,Mid!AD$5:AD$167)</f>
        <v>0</v>
      </c>
      <c r="J67">
        <f ca="1">SUMIF(Top!$W$5:$W$168,$B67,Top!AE$5:AE$167)+SUMIF(Mid!$W$5:$W$168,$B67,Mid!AE$5:AE$167)</f>
        <v>0</v>
      </c>
      <c r="K67">
        <f ca="1">SUMIF(Top!$W$5:$W$168,$B67,Top!AF$5:AF$167)+SUMIF(Mid!$W$5:$W$168,$B67,Mid!AF$5:AF$167)</f>
        <v>0</v>
      </c>
      <c r="L67">
        <f ca="1">SUMIF(Top!$W$5:$W$168,$B67,Top!AG$5:AG$167)+SUMIF(Mid!$W$5:$W$168,$B67,Mid!AG$5:AG$167)</f>
        <v>0</v>
      </c>
      <c r="M67">
        <f ca="1">SUMIF(Top!$W$5:$W$168,$B67,Top!AH$5:AH$167)+SUMIF(Mid!$W$5:$W$168,$B67,Mid!AH$5:AH$167)</f>
        <v>0</v>
      </c>
      <c r="N67">
        <f ca="1">SUMIF(Top!$W$5:$W$168,$B67,Top!AI$5:AI$167)+SUMIF(Mid!$W$5:$W$168,$B67,Mid!AI$5:AI$167)</f>
        <v>0</v>
      </c>
      <c r="O67">
        <f ca="1">SUMIF(Top!$W$5:$W$168,$B67,Top!AJ$5:AJ$167)+SUMIF(Mid!$W$5:$W$168,$B67,Mid!AJ$5:AJ$167)</f>
        <v>0</v>
      </c>
      <c r="P67">
        <f ca="1">SUMIF(Top!$W$5:$W$168,$B67,Top!AK$5:AK$167)+SUMIF(Mid!$W$5:$W$168,$B67,Mid!AK$5:AK$167)</f>
        <v>0</v>
      </c>
      <c r="Q67">
        <f t="shared" ca="1" si="0"/>
        <v>7</v>
      </c>
      <c r="R67" s="17">
        <f t="shared" ca="1" si="1"/>
        <v>7</v>
      </c>
    </row>
    <row r="68" spans="2:18" x14ac:dyDescent="0.25">
      <c r="B68" t="s">
        <v>335</v>
      </c>
      <c r="C68">
        <f ca="1">SUMIF(Top!$W$5:$W$168,$B68,Top!X$5:X$167)+SUMIF(Mid!$W$5:$W$168,$B68,Mid!X$5:X$167)</f>
        <v>0</v>
      </c>
      <c r="D68">
        <f ca="1">SUMIF(Top!$W$5:$W$168,$B68,Top!Y$5:Y$167)+SUMIF(Mid!$W$5:$W$168,$B68,Mid!Y$5:Y$167)</f>
        <v>0</v>
      </c>
      <c r="E68">
        <f ca="1">SUMIF(Top!$W$5:$W$168,$B68,Top!Z$5:Z$167)+SUMIF(Mid!$W$5:$W$168,$B68,Mid!Z$5:Z$167)</f>
        <v>0</v>
      </c>
      <c r="F68">
        <f ca="1">SUMIF(Top!$W$5:$W$168,$B68,Top!AA$5:AA$167)+SUMIF(Mid!$W$5:$W$168,$B68,Mid!AA$5:AA$167)</f>
        <v>0</v>
      </c>
      <c r="G68">
        <f ca="1">SUMIF(Top!$W$5:$W$168,$B68,Top!AB$5:AB$167)+SUMIF(Mid!$W$5:$W$168,$B68,Mid!AB$5:AB$167)</f>
        <v>0</v>
      </c>
      <c r="H68">
        <f ca="1">SUMIF(Top!$W$5:$W$168,$B68,Top!AC$5:AC$167)+SUMIF(Mid!$W$5:$W$168,$B68,Mid!AC$5:AC$167)</f>
        <v>0</v>
      </c>
      <c r="I68">
        <f ca="1">SUMIF(Top!$W$5:$W$168,$B68,Top!AD$5:AD$167)+SUMIF(Mid!$W$5:$W$168,$B68,Mid!AD$5:AD$167)</f>
        <v>0</v>
      </c>
      <c r="J68">
        <f ca="1">SUMIF(Top!$W$5:$W$168,$B68,Top!AE$5:AE$167)+SUMIF(Mid!$W$5:$W$168,$B68,Mid!AE$5:AE$167)</f>
        <v>0</v>
      </c>
      <c r="K68">
        <f ca="1">SUMIF(Top!$W$5:$W$168,$B68,Top!AF$5:AF$167)+SUMIF(Mid!$W$5:$W$168,$B68,Mid!AF$5:AF$167)</f>
        <v>0</v>
      </c>
      <c r="L68">
        <f ca="1">SUMIF(Top!$W$5:$W$168,$B68,Top!AG$5:AG$167)+SUMIF(Mid!$W$5:$W$168,$B68,Mid!AG$5:AG$167)</f>
        <v>0</v>
      </c>
      <c r="M68">
        <f ca="1">SUMIF(Top!$W$5:$W$168,$B68,Top!AH$5:AH$167)+SUMIF(Mid!$W$5:$W$168,$B68,Mid!AH$5:AH$167)</f>
        <v>0</v>
      </c>
      <c r="N68">
        <f ca="1">SUMIF(Top!$W$5:$W$168,$B68,Top!AI$5:AI$167)+SUMIF(Mid!$W$5:$W$168,$B68,Mid!AI$5:AI$167)</f>
        <v>0</v>
      </c>
      <c r="O68">
        <f ca="1">SUMIF(Top!$W$5:$W$168,$B68,Top!AJ$5:AJ$167)+SUMIF(Mid!$W$5:$W$168,$B68,Mid!AJ$5:AJ$167)</f>
        <v>0</v>
      </c>
      <c r="P68">
        <f ca="1">SUMIF(Top!$W$5:$W$168,$B68,Top!AK$5:AK$167)+SUMIF(Mid!$W$5:$W$168,$B68,Mid!AK$5:AK$167)</f>
        <v>0</v>
      </c>
      <c r="Q68">
        <f t="shared" ca="1" si="0"/>
        <v>0</v>
      </c>
      <c r="R68" s="17">
        <f t="shared" ca="1" si="1"/>
        <v>0</v>
      </c>
    </row>
    <row r="69" spans="2:18" x14ac:dyDescent="0.25">
      <c r="B69" t="s">
        <v>336</v>
      </c>
      <c r="C69">
        <f ca="1">SUMIF(Top!$W$5:$W$168,$B69,Top!X$5:X$167)+SUMIF(Mid!$W$5:$W$168,$B69,Mid!X$5:X$167)</f>
        <v>0</v>
      </c>
      <c r="D69">
        <f ca="1">SUMIF(Top!$W$5:$W$168,$B69,Top!Y$5:Y$167)+SUMIF(Mid!$W$5:$W$168,$B69,Mid!Y$5:Y$167)</f>
        <v>0</v>
      </c>
      <c r="E69">
        <f ca="1">SUMIF(Top!$W$5:$W$168,$B69,Top!Z$5:Z$167)+SUMIF(Mid!$W$5:$W$168,$B69,Mid!Z$5:Z$167)</f>
        <v>0</v>
      </c>
      <c r="F69">
        <f ca="1">SUMIF(Top!$W$5:$W$168,$B69,Top!AA$5:AA$167)+SUMIF(Mid!$W$5:$W$168,$B69,Mid!AA$5:AA$167)</f>
        <v>0</v>
      </c>
      <c r="G69">
        <f ca="1">SUMIF(Top!$W$5:$W$168,$B69,Top!AB$5:AB$167)+SUMIF(Mid!$W$5:$W$168,$B69,Mid!AB$5:AB$167)</f>
        <v>0</v>
      </c>
      <c r="H69">
        <f ca="1">SUMIF(Top!$W$5:$W$168,$B69,Top!AC$5:AC$167)+SUMIF(Mid!$W$5:$W$168,$B69,Mid!AC$5:AC$167)</f>
        <v>0</v>
      </c>
      <c r="I69">
        <f ca="1">SUMIF(Top!$W$5:$W$168,$B69,Top!AD$5:AD$167)+SUMIF(Mid!$W$5:$W$168,$B69,Mid!AD$5:AD$167)</f>
        <v>0</v>
      </c>
      <c r="J69">
        <f ca="1">SUMIF(Top!$W$5:$W$168,$B69,Top!AE$5:AE$167)+SUMIF(Mid!$W$5:$W$168,$B69,Mid!AE$5:AE$167)</f>
        <v>0</v>
      </c>
      <c r="K69">
        <f ca="1">SUMIF(Top!$W$5:$W$168,$B69,Top!AF$5:AF$167)+SUMIF(Mid!$W$5:$W$168,$B69,Mid!AF$5:AF$167)</f>
        <v>0</v>
      </c>
      <c r="L69">
        <f ca="1">SUMIF(Top!$W$5:$W$168,$B69,Top!AG$5:AG$167)+SUMIF(Mid!$W$5:$W$168,$B69,Mid!AG$5:AG$167)</f>
        <v>0</v>
      </c>
      <c r="M69">
        <f ca="1">SUMIF(Top!$W$5:$W$168,$B69,Top!AH$5:AH$167)+SUMIF(Mid!$W$5:$W$168,$B69,Mid!AH$5:AH$167)</f>
        <v>0</v>
      </c>
      <c r="N69">
        <f ca="1">SUMIF(Top!$W$5:$W$168,$B69,Top!AI$5:AI$167)+SUMIF(Mid!$W$5:$W$168,$B69,Mid!AI$5:AI$167)</f>
        <v>0</v>
      </c>
      <c r="O69">
        <f ca="1">SUMIF(Top!$W$5:$W$168,$B69,Top!AJ$5:AJ$167)+SUMIF(Mid!$W$5:$W$168,$B69,Mid!AJ$5:AJ$167)</f>
        <v>0</v>
      </c>
      <c r="P69">
        <f ca="1">SUMIF(Top!$W$5:$W$168,$B69,Top!AK$5:AK$167)+SUMIF(Mid!$W$5:$W$168,$B69,Mid!AK$5:AK$167)</f>
        <v>0</v>
      </c>
      <c r="Q69">
        <f t="shared" ca="1" si="0"/>
        <v>0</v>
      </c>
      <c r="R69" s="17">
        <f t="shared" ca="1" si="1"/>
        <v>0</v>
      </c>
    </row>
    <row r="70" spans="2:18" x14ac:dyDescent="0.25">
      <c r="B70" t="s">
        <v>337</v>
      </c>
      <c r="C70">
        <f ca="1">SUMIF(Top!$W$5:$W$168,$B70,Top!X$5:X$167)+SUMIF(Mid!$W$5:$W$168,$B70,Mid!X$5:X$167)</f>
        <v>0</v>
      </c>
      <c r="D70">
        <f ca="1">SUMIF(Top!$W$5:$W$168,$B70,Top!Y$5:Y$167)+SUMIF(Mid!$W$5:$W$168,$B70,Mid!Y$5:Y$167)</f>
        <v>25</v>
      </c>
      <c r="E70">
        <f ca="1">SUMIF(Top!$W$5:$W$168,$B70,Top!Z$5:Z$167)+SUMIF(Mid!$W$5:$W$168,$B70,Mid!Z$5:Z$167)</f>
        <v>0</v>
      </c>
      <c r="F70">
        <f ca="1">SUMIF(Top!$W$5:$W$168,$B70,Top!AA$5:AA$167)+SUMIF(Mid!$W$5:$W$168,$B70,Mid!AA$5:AA$167)</f>
        <v>0</v>
      </c>
      <c r="G70">
        <f ca="1">SUMIF(Top!$W$5:$W$168,$B70,Top!AB$5:AB$167)+SUMIF(Mid!$W$5:$W$168,$B70,Mid!AB$5:AB$167)</f>
        <v>0</v>
      </c>
      <c r="H70">
        <f ca="1">SUMIF(Top!$W$5:$W$168,$B70,Top!AC$5:AC$167)+SUMIF(Mid!$W$5:$W$168,$B70,Mid!AC$5:AC$167)</f>
        <v>0</v>
      </c>
      <c r="I70">
        <f ca="1">SUMIF(Top!$W$5:$W$168,$B70,Top!AD$5:AD$167)+SUMIF(Mid!$W$5:$W$168,$B70,Mid!AD$5:AD$167)</f>
        <v>0</v>
      </c>
      <c r="J70">
        <f ca="1">SUMIF(Top!$W$5:$W$168,$B70,Top!AE$5:AE$167)+SUMIF(Mid!$W$5:$W$168,$B70,Mid!AE$5:AE$167)</f>
        <v>0</v>
      </c>
      <c r="K70">
        <f ca="1">SUMIF(Top!$W$5:$W$168,$B70,Top!AF$5:AF$167)+SUMIF(Mid!$W$5:$W$168,$B70,Mid!AF$5:AF$167)</f>
        <v>0</v>
      </c>
      <c r="L70">
        <f ca="1">SUMIF(Top!$W$5:$W$168,$B70,Top!AG$5:AG$167)+SUMIF(Mid!$W$5:$W$168,$B70,Mid!AG$5:AG$167)</f>
        <v>0</v>
      </c>
      <c r="M70">
        <f ca="1">SUMIF(Top!$W$5:$W$168,$B70,Top!AH$5:AH$167)+SUMIF(Mid!$W$5:$W$168,$B70,Mid!AH$5:AH$167)</f>
        <v>0</v>
      </c>
      <c r="N70">
        <f ca="1">SUMIF(Top!$W$5:$W$168,$B70,Top!AI$5:AI$167)+SUMIF(Mid!$W$5:$W$168,$B70,Mid!AI$5:AI$167)</f>
        <v>0</v>
      </c>
      <c r="O70">
        <f ca="1">SUMIF(Top!$W$5:$W$168,$B70,Top!AJ$5:AJ$167)+SUMIF(Mid!$W$5:$W$168,$B70,Mid!AJ$5:AJ$167)</f>
        <v>0</v>
      </c>
      <c r="P70">
        <f ca="1">SUMIF(Top!$W$5:$W$168,$B70,Top!AK$5:AK$167)+SUMIF(Mid!$W$5:$W$168,$B70,Mid!AK$5:AK$167)</f>
        <v>0</v>
      </c>
      <c r="Q70">
        <f t="shared" ca="1" si="0"/>
        <v>25</v>
      </c>
      <c r="R70" s="17">
        <f t="shared" ca="1" si="1"/>
        <v>25</v>
      </c>
    </row>
    <row r="71" spans="2:18" x14ac:dyDescent="0.25">
      <c r="B71" t="s">
        <v>338</v>
      </c>
      <c r="C71">
        <f ca="1">SUMIF(Top!$W$5:$W$168,$B71,Top!X$5:X$167)+SUMIF(Mid!$W$5:$W$168,$B71,Mid!X$5:X$167)</f>
        <v>0</v>
      </c>
      <c r="D71">
        <f ca="1">SUMIF(Top!$W$5:$W$168,$B71,Top!Y$5:Y$167)+SUMIF(Mid!$W$5:$W$168,$B71,Mid!Y$5:Y$167)</f>
        <v>0</v>
      </c>
      <c r="E71">
        <f ca="1">SUMIF(Top!$W$5:$W$168,$B71,Top!Z$5:Z$167)+SUMIF(Mid!$W$5:$W$168,$B71,Mid!Z$5:Z$167)</f>
        <v>0</v>
      </c>
      <c r="F71">
        <f ca="1">SUMIF(Top!$W$5:$W$168,$B71,Top!AA$5:AA$167)+SUMIF(Mid!$W$5:$W$168,$B71,Mid!AA$5:AA$167)</f>
        <v>0</v>
      </c>
      <c r="G71">
        <f ca="1">SUMIF(Top!$W$5:$W$168,$B71,Top!AB$5:AB$167)+SUMIF(Mid!$W$5:$W$168,$B71,Mid!AB$5:AB$167)</f>
        <v>0</v>
      </c>
      <c r="H71">
        <f ca="1">SUMIF(Top!$W$5:$W$168,$B71,Top!AC$5:AC$167)+SUMIF(Mid!$W$5:$W$168,$B71,Mid!AC$5:AC$167)</f>
        <v>0</v>
      </c>
      <c r="I71">
        <f ca="1">SUMIF(Top!$W$5:$W$168,$B71,Top!AD$5:AD$167)+SUMIF(Mid!$W$5:$W$168,$B71,Mid!AD$5:AD$167)</f>
        <v>0</v>
      </c>
      <c r="J71">
        <f ca="1">SUMIF(Top!$W$5:$W$168,$B71,Top!AE$5:AE$167)+SUMIF(Mid!$W$5:$W$168,$B71,Mid!AE$5:AE$167)</f>
        <v>0</v>
      </c>
      <c r="K71">
        <f ca="1">SUMIF(Top!$W$5:$W$168,$B71,Top!AF$5:AF$167)+SUMIF(Mid!$W$5:$W$168,$B71,Mid!AF$5:AF$167)</f>
        <v>0</v>
      </c>
      <c r="L71">
        <f ca="1">SUMIF(Top!$W$5:$W$168,$B71,Top!AG$5:AG$167)+SUMIF(Mid!$W$5:$W$168,$B71,Mid!AG$5:AG$167)</f>
        <v>0</v>
      </c>
      <c r="M71">
        <f ca="1">SUMIF(Top!$W$5:$W$168,$B71,Top!AH$5:AH$167)+SUMIF(Mid!$W$5:$W$168,$B71,Mid!AH$5:AH$167)</f>
        <v>0</v>
      </c>
      <c r="N71">
        <f ca="1">SUMIF(Top!$W$5:$W$168,$B71,Top!AI$5:AI$167)+SUMIF(Mid!$W$5:$W$168,$B71,Mid!AI$5:AI$167)</f>
        <v>0</v>
      </c>
      <c r="O71">
        <f ca="1">SUMIF(Top!$W$5:$W$168,$B71,Top!AJ$5:AJ$167)+SUMIF(Mid!$W$5:$W$168,$B71,Mid!AJ$5:AJ$167)</f>
        <v>0</v>
      </c>
      <c r="P71">
        <f ca="1">SUMIF(Top!$W$5:$W$168,$B71,Top!AK$5:AK$167)+SUMIF(Mid!$W$5:$W$168,$B71,Mid!AK$5:AK$167)</f>
        <v>0</v>
      </c>
      <c r="Q71">
        <f t="shared" ca="1" si="0"/>
        <v>0</v>
      </c>
      <c r="R71" s="17">
        <f t="shared" ca="1" si="1"/>
        <v>0</v>
      </c>
    </row>
    <row r="72" spans="2:18" x14ac:dyDescent="0.25">
      <c r="B72" t="s">
        <v>339</v>
      </c>
      <c r="C72">
        <f ca="1">SUMIF(Top!$W$5:$W$168,$B72,Top!X$5:X$167)+SUMIF(Mid!$W$5:$W$168,$B72,Mid!X$5:X$167)</f>
        <v>0</v>
      </c>
      <c r="D72">
        <f ca="1">SUMIF(Top!$W$5:$W$168,$B72,Top!Y$5:Y$167)+SUMIF(Mid!$W$5:$W$168,$B72,Mid!Y$5:Y$167)</f>
        <v>20</v>
      </c>
      <c r="E72">
        <f ca="1">SUMIF(Top!$W$5:$W$168,$B72,Top!Z$5:Z$167)+SUMIF(Mid!$W$5:$W$168,$B72,Mid!Z$5:Z$167)</f>
        <v>0</v>
      </c>
      <c r="F72">
        <f ca="1">SUMIF(Top!$W$5:$W$168,$B72,Top!AA$5:AA$167)+SUMIF(Mid!$W$5:$W$168,$B72,Mid!AA$5:AA$167)</f>
        <v>0</v>
      </c>
      <c r="G72">
        <f ca="1">SUMIF(Top!$W$5:$W$168,$B72,Top!AB$5:AB$167)+SUMIF(Mid!$W$5:$W$168,$B72,Mid!AB$5:AB$167)</f>
        <v>0</v>
      </c>
      <c r="H72">
        <f ca="1">SUMIF(Top!$W$5:$W$168,$B72,Top!AC$5:AC$167)+SUMIF(Mid!$W$5:$W$168,$B72,Mid!AC$5:AC$167)</f>
        <v>0</v>
      </c>
      <c r="I72">
        <f ca="1">SUMIF(Top!$W$5:$W$168,$B72,Top!AD$5:AD$167)+SUMIF(Mid!$W$5:$W$168,$B72,Mid!AD$5:AD$167)</f>
        <v>0</v>
      </c>
      <c r="J72">
        <f ca="1">SUMIF(Top!$W$5:$W$168,$B72,Top!AE$5:AE$167)+SUMIF(Mid!$W$5:$W$168,$B72,Mid!AE$5:AE$167)</f>
        <v>0</v>
      </c>
      <c r="K72">
        <f ca="1">SUMIF(Top!$W$5:$W$168,$B72,Top!AF$5:AF$167)+SUMIF(Mid!$W$5:$W$168,$B72,Mid!AF$5:AF$167)</f>
        <v>0</v>
      </c>
      <c r="L72">
        <f ca="1">SUMIF(Top!$W$5:$W$168,$B72,Top!AG$5:AG$167)+SUMIF(Mid!$W$5:$W$168,$B72,Mid!AG$5:AG$167)</f>
        <v>0</v>
      </c>
      <c r="M72">
        <f ca="1">SUMIF(Top!$W$5:$W$168,$B72,Top!AH$5:AH$167)+SUMIF(Mid!$W$5:$W$168,$B72,Mid!AH$5:AH$167)</f>
        <v>0</v>
      </c>
      <c r="N72">
        <f ca="1">SUMIF(Top!$W$5:$W$168,$B72,Top!AI$5:AI$167)+SUMIF(Mid!$W$5:$W$168,$B72,Mid!AI$5:AI$167)</f>
        <v>0</v>
      </c>
      <c r="O72">
        <f ca="1">SUMIF(Top!$W$5:$W$168,$B72,Top!AJ$5:AJ$167)+SUMIF(Mid!$W$5:$W$168,$B72,Mid!AJ$5:AJ$167)</f>
        <v>0</v>
      </c>
      <c r="P72">
        <f ca="1">SUMIF(Top!$W$5:$W$168,$B72,Top!AK$5:AK$167)+SUMIF(Mid!$W$5:$W$168,$B72,Mid!AK$5:AK$167)</f>
        <v>0</v>
      </c>
      <c r="Q72">
        <f t="shared" ca="1" si="0"/>
        <v>20</v>
      </c>
      <c r="R72" s="17">
        <f t="shared" ca="1" si="1"/>
        <v>20</v>
      </c>
    </row>
    <row r="73" spans="2:18" x14ac:dyDescent="0.25">
      <c r="B73" t="s">
        <v>340</v>
      </c>
      <c r="C73">
        <f ca="1">SUMIF(Top!$W$5:$W$168,$B73,Top!X$5:X$167)+SUMIF(Mid!$W$5:$W$168,$B73,Mid!X$5:X$167)</f>
        <v>0</v>
      </c>
      <c r="D73">
        <f ca="1">SUMIF(Top!$W$5:$W$168,$B73,Top!Y$5:Y$167)+SUMIF(Mid!$W$5:$W$168,$B73,Mid!Y$5:Y$167)</f>
        <v>0</v>
      </c>
      <c r="E73">
        <f ca="1">SUMIF(Top!$W$5:$W$168,$B73,Top!Z$5:Z$167)+SUMIF(Mid!$W$5:$W$168,$B73,Mid!Z$5:Z$167)</f>
        <v>0</v>
      </c>
      <c r="F73">
        <f ca="1">SUMIF(Top!$W$5:$W$168,$B73,Top!AA$5:AA$167)+SUMIF(Mid!$W$5:$W$168,$B73,Mid!AA$5:AA$167)</f>
        <v>0</v>
      </c>
      <c r="G73">
        <f ca="1">SUMIF(Top!$W$5:$W$168,$B73,Top!AB$5:AB$167)+SUMIF(Mid!$W$5:$W$168,$B73,Mid!AB$5:AB$167)</f>
        <v>0</v>
      </c>
      <c r="H73">
        <f ca="1">SUMIF(Top!$W$5:$W$168,$B73,Top!AC$5:AC$167)+SUMIF(Mid!$W$5:$W$168,$B73,Mid!AC$5:AC$167)</f>
        <v>0</v>
      </c>
      <c r="I73">
        <f ca="1">SUMIF(Top!$W$5:$W$168,$B73,Top!AD$5:AD$167)+SUMIF(Mid!$W$5:$W$168,$B73,Mid!AD$5:AD$167)</f>
        <v>0</v>
      </c>
      <c r="J73">
        <f ca="1">SUMIF(Top!$W$5:$W$168,$B73,Top!AE$5:AE$167)+SUMIF(Mid!$W$5:$W$168,$B73,Mid!AE$5:AE$167)</f>
        <v>0</v>
      </c>
      <c r="K73">
        <f ca="1">SUMIF(Top!$W$5:$W$168,$B73,Top!AF$5:AF$167)+SUMIF(Mid!$W$5:$W$168,$B73,Mid!AF$5:AF$167)</f>
        <v>0</v>
      </c>
      <c r="L73">
        <f ca="1">SUMIF(Top!$W$5:$W$168,$B73,Top!AG$5:AG$167)+SUMIF(Mid!$W$5:$W$168,$B73,Mid!AG$5:AG$167)</f>
        <v>0</v>
      </c>
      <c r="M73">
        <f ca="1">SUMIF(Top!$W$5:$W$168,$B73,Top!AH$5:AH$167)+SUMIF(Mid!$W$5:$W$168,$B73,Mid!AH$5:AH$167)</f>
        <v>0</v>
      </c>
      <c r="N73">
        <f ca="1">SUMIF(Top!$W$5:$W$168,$B73,Top!AI$5:AI$167)+SUMIF(Mid!$W$5:$W$168,$B73,Mid!AI$5:AI$167)</f>
        <v>0</v>
      </c>
      <c r="O73">
        <f ca="1">SUMIF(Top!$W$5:$W$168,$B73,Top!AJ$5:AJ$167)+SUMIF(Mid!$W$5:$W$168,$B73,Mid!AJ$5:AJ$167)</f>
        <v>0</v>
      </c>
      <c r="P73">
        <f ca="1">SUMIF(Top!$W$5:$W$168,$B73,Top!AK$5:AK$167)+SUMIF(Mid!$W$5:$W$168,$B73,Mid!AK$5:AK$167)</f>
        <v>0</v>
      </c>
      <c r="Q73">
        <f t="shared" ca="1" si="0"/>
        <v>0</v>
      </c>
      <c r="R73" s="17">
        <f t="shared" ca="1" si="1"/>
        <v>0</v>
      </c>
    </row>
    <row r="74" spans="2:18" x14ac:dyDescent="0.25">
      <c r="B74" t="s">
        <v>341</v>
      </c>
      <c r="C74">
        <f ca="1">SUMIF(Top!$W$5:$W$168,$B74,Top!X$5:X$167)+SUMIF(Mid!$W$5:$W$168,$B74,Mid!X$5:X$167)</f>
        <v>22</v>
      </c>
      <c r="D74">
        <f ca="1">SUMIF(Top!$W$5:$W$168,$B74,Top!Y$5:Y$167)+SUMIF(Mid!$W$5:$W$168,$B74,Mid!Y$5:Y$167)</f>
        <v>0</v>
      </c>
      <c r="E74">
        <f ca="1">SUMIF(Top!$W$5:$W$168,$B74,Top!Z$5:Z$167)+SUMIF(Mid!$W$5:$W$168,$B74,Mid!Z$5:Z$167)</f>
        <v>0</v>
      </c>
      <c r="F74">
        <f ca="1">SUMIF(Top!$W$5:$W$168,$B74,Top!AA$5:AA$167)+SUMIF(Mid!$W$5:$W$168,$B74,Mid!AA$5:AA$167)</f>
        <v>0</v>
      </c>
      <c r="G74">
        <f ca="1">SUMIF(Top!$W$5:$W$168,$B74,Top!AB$5:AB$167)+SUMIF(Mid!$W$5:$W$168,$B74,Mid!AB$5:AB$167)</f>
        <v>0</v>
      </c>
      <c r="H74">
        <f ca="1">SUMIF(Top!$W$5:$W$168,$B74,Top!AC$5:AC$167)+SUMIF(Mid!$W$5:$W$168,$B74,Mid!AC$5:AC$167)</f>
        <v>0</v>
      </c>
      <c r="I74">
        <f ca="1">SUMIF(Top!$W$5:$W$168,$B74,Top!AD$5:AD$167)+SUMIF(Mid!$W$5:$W$168,$B74,Mid!AD$5:AD$167)</f>
        <v>0</v>
      </c>
      <c r="J74">
        <f ca="1">SUMIF(Top!$W$5:$W$168,$B74,Top!AE$5:AE$167)+SUMIF(Mid!$W$5:$W$168,$B74,Mid!AE$5:AE$167)</f>
        <v>0</v>
      </c>
      <c r="K74">
        <f ca="1">SUMIF(Top!$W$5:$W$168,$B74,Top!AF$5:AF$167)+SUMIF(Mid!$W$5:$W$168,$B74,Mid!AF$5:AF$167)</f>
        <v>0</v>
      </c>
      <c r="L74">
        <f ca="1">SUMIF(Top!$W$5:$W$168,$B74,Top!AG$5:AG$167)+SUMIF(Mid!$W$5:$W$168,$B74,Mid!AG$5:AG$167)</f>
        <v>0</v>
      </c>
      <c r="M74">
        <f ca="1">SUMIF(Top!$W$5:$W$168,$B74,Top!AH$5:AH$167)+SUMIF(Mid!$W$5:$W$168,$B74,Mid!AH$5:AH$167)</f>
        <v>0</v>
      </c>
      <c r="N74">
        <f ca="1">SUMIF(Top!$W$5:$W$168,$B74,Top!AI$5:AI$167)+SUMIF(Mid!$W$5:$W$168,$B74,Mid!AI$5:AI$167)</f>
        <v>0</v>
      </c>
      <c r="O74">
        <f ca="1">SUMIF(Top!$W$5:$W$168,$B74,Top!AJ$5:AJ$167)+SUMIF(Mid!$W$5:$W$168,$B74,Mid!AJ$5:AJ$167)</f>
        <v>0</v>
      </c>
      <c r="P74">
        <f ca="1">SUMIF(Top!$W$5:$W$168,$B74,Top!AK$5:AK$167)+SUMIF(Mid!$W$5:$W$168,$B74,Mid!AK$5:AK$167)</f>
        <v>0</v>
      </c>
      <c r="Q74">
        <f t="shared" ca="1" si="0"/>
        <v>22</v>
      </c>
      <c r="R74" s="17">
        <f t="shared" ca="1" si="1"/>
        <v>22</v>
      </c>
    </row>
    <row r="75" spans="2:18" x14ac:dyDescent="0.25">
      <c r="B75" t="s">
        <v>342</v>
      </c>
      <c r="C75">
        <f ca="1">SUMIF(Top!$W$5:$W$168,$B75,Top!X$5:X$167)+SUMIF(Mid!$W$5:$W$168,$B75,Mid!X$5:X$167)</f>
        <v>0</v>
      </c>
      <c r="D75">
        <f ca="1">SUMIF(Top!$W$5:$W$168,$B75,Top!Y$5:Y$167)+SUMIF(Mid!$W$5:$W$168,$B75,Mid!Y$5:Y$167)</f>
        <v>0</v>
      </c>
      <c r="E75">
        <f ca="1">SUMIF(Top!$W$5:$W$168,$B75,Top!Z$5:Z$167)+SUMIF(Mid!$W$5:$W$168,$B75,Mid!Z$5:Z$167)</f>
        <v>0</v>
      </c>
      <c r="F75">
        <f ca="1">SUMIF(Top!$W$5:$W$168,$B75,Top!AA$5:AA$167)+SUMIF(Mid!$W$5:$W$168,$B75,Mid!AA$5:AA$167)</f>
        <v>0</v>
      </c>
      <c r="G75">
        <f ca="1">SUMIF(Top!$W$5:$W$168,$B75,Top!AB$5:AB$167)+SUMIF(Mid!$W$5:$W$168,$B75,Mid!AB$5:AB$167)</f>
        <v>0</v>
      </c>
      <c r="H75">
        <f ca="1">SUMIF(Top!$W$5:$W$168,$B75,Top!AC$5:AC$167)+SUMIF(Mid!$W$5:$W$168,$B75,Mid!AC$5:AC$167)</f>
        <v>0</v>
      </c>
      <c r="I75">
        <f ca="1">SUMIF(Top!$W$5:$W$168,$B75,Top!AD$5:AD$167)+SUMIF(Mid!$W$5:$W$168,$B75,Mid!AD$5:AD$167)</f>
        <v>0</v>
      </c>
      <c r="J75">
        <f ca="1">SUMIF(Top!$W$5:$W$168,$B75,Top!AE$5:AE$167)+SUMIF(Mid!$W$5:$W$168,$B75,Mid!AE$5:AE$167)</f>
        <v>0</v>
      </c>
      <c r="K75">
        <f ca="1">SUMIF(Top!$W$5:$W$168,$B75,Top!AF$5:AF$167)+SUMIF(Mid!$W$5:$W$168,$B75,Mid!AF$5:AF$167)</f>
        <v>0</v>
      </c>
      <c r="L75">
        <f ca="1">SUMIF(Top!$W$5:$W$168,$B75,Top!AG$5:AG$167)+SUMIF(Mid!$W$5:$W$168,$B75,Mid!AG$5:AG$167)</f>
        <v>0</v>
      </c>
      <c r="M75">
        <f ca="1">SUMIF(Top!$W$5:$W$168,$B75,Top!AH$5:AH$167)+SUMIF(Mid!$W$5:$W$168,$B75,Mid!AH$5:AH$167)</f>
        <v>0</v>
      </c>
      <c r="N75">
        <f ca="1">SUMIF(Top!$W$5:$W$168,$B75,Top!AI$5:AI$167)+SUMIF(Mid!$W$5:$W$168,$B75,Mid!AI$5:AI$167)</f>
        <v>0</v>
      </c>
      <c r="O75">
        <f ca="1">SUMIF(Top!$W$5:$W$168,$B75,Top!AJ$5:AJ$167)+SUMIF(Mid!$W$5:$W$168,$B75,Mid!AJ$5:AJ$167)</f>
        <v>0</v>
      </c>
      <c r="P75">
        <f ca="1">SUMIF(Top!$W$5:$W$168,$B75,Top!AK$5:AK$167)+SUMIF(Mid!$W$5:$W$168,$B75,Mid!AK$5:AK$167)</f>
        <v>0</v>
      </c>
      <c r="Q75">
        <f t="shared" ref="Q75:Q138" ca="1" si="2">SUM(C75:P75)</f>
        <v>0</v>
      </c>
      <c r="R75" s="17">
        <f t="shared" ref="R75:R138" ca="1" si="3">IF(Q75=0,0,Q75/COUNTIF(C75:P75,"&gt;0"))</f>
        <v>0</v>
      </c>
    </row>
    <row r="76" spans="2:18" x14ac:dyDescent="0.25">
      <c r="B76" t="s">
        <v>343</v>
      </c>
      <c r="C76">
        <f ca="1">SUMIF(Top!$W$5:$W$168,$B76,Top!X$5:X$167)+SUMIF(Mid!$W$5:$W$168,$B76,Mid!X$5:X$167)</f>
        <v>0</v>
      </c>
      <c r="D76">
        <f ca="1">SUMIF(Top!$W$5:$W$168,$B76,Top!Y$5:Y$167)+SUMIF(Mid!$W$5:$W$168,$B76,Mid!Y$5:Y$167)</f>
        <v>0</v>
      </c>
      <c r="E76">
        <f ca="1">SUMIF(Top!$W$5:$W$168,$B76,Top!Z$5:Z$167)+SUMIF(Mid!$W$5:$W$168,$B76,Mid!Z$5:Z$167)</f>
        <v>0</v>
      </c>
      <c r="F76">
        <f ca="1">SUMIF(Top!$W$5:$W$168,$B76,Top!AA$5:AA$167)+SUMIF(Mid!$W$5:$W$168,$B76,Mid!AA$5:AA$167)</f>
        <v>0</v>
      </c>
      <c r="G76">
        <f ca="1">SUMIF(Top!$W$5:$W$168,$B76,Top!AB$5:AB$167)+SUMIF(Mid!$W$5:$W$168,$B76,Mid!AB$5:AB$167)</f>
        <v>0</v>
      </c>
      <c r="H76">
        <f ca="1">SUMIF(Top!$W$5:$W$168,$B76,Top!AC$5:AC$167)+SUMIF(Mid!$W$5:$W$168,$B76,Mid!AC$5:AC$167)</f>
        <v>0</v>
      </c>
      <c r="I76">
        <f ca="1">SUMIF(Top!$W$5:$W$168,$B76,Top!AD$5:AD$167)+SUMIF(Mid!$W$5:$W$168,$B76,Mid!AD$5:AD$167)</f>
        <v>0</v>
      </c>
      <c r="J76">
        <f ca="1">SUMIF(Top!$W$5:$W$168,$B76,Top!AE$5:AE$167)+SUMIF(Mid!$W$5:$W$168,$B76,Mid!AE$5:AE$167)</f>
        <v>0</v>
      </c>
      <c r="K76">
        <f ca="1">SUMIF(Top!$W$5:$W$168,$B76,Top!AF$5:AF$167)+SUMIF(Mid!$W$5:$W$168,$B76,Mid!AF$5:AF$167)</f>
        <v>0</v>
      </c>
      <c r="L76">
        <f ca="1">SUMIF(Top!$W$5:$W$168,$B76,Top!AG$5:AG$167)+SUMIF(Mid!$W$5:$W$168,$B76,Mid!AG$5:AG$167)</f>
        <v>0</v>
      </c>
      <c r="M76">
        <f ca="1">SUMIF(Top!$W$5:$W$168,$B76,Top!AH$5:AH$167)+SUMIF(Mid!$W$5:$W$168,$B76,Mid!AH$5:AH$167)</f>
        <v>0</v>
      </c>
      <c r="N76">
        <f ca="1">SUMIF(Top!$W$5:$W$168,$B76,Top!AI$5:AI$167)+SUMIF(Mid!$W$5:$W$168,$B76,Mid!AI$5:AI$167)</f>
        <v>0</v>
      </c>
      <c r="O76">
        <f ca="1">SUMIF(Top!$W$5:$W$168,$B76,Top!AJ$5:AJ$167)+SUMIF(Mid!$W$5:$W$168,$B76,Mid!AJ$5:AJ$167)</f>
        <v>0</v>
      </c>
      <c r="P76">
        <f ca="1">SUMIF(Top!$W$5:$W$168,$B76,Top!AK$5:AK$167)+SUMIF(Mid!$W$5:$W$168,$B76,Mid!AK$5:AK$167)</f>
        <v>0</v>
      </c>
      <c r="Q76">
        <f t="shared" ca="1" si="2"/>
        <v>0</v>
      </c>
      <c r="R76" s="17">
        <f t="shared" ca="1" si="3"/>
        <v>0</v>
      </c>
    </row>
    <row r="77" spans="2:18" x14ac:dyDescent="0.25">
      <c r="B77" t="s">
        <v>344</v>
      </c>
      <c r="C77">
        <f ca="1">SUMIF(Top!$W$5:$W$168,$B77,Top!X$5:X$167)+SUMIF(Mid!$W$5:$W$168,$B77,Mid!X$5:X$167)</f>
        <v>0</v>
      </c>
      <c r="D77">
        <f ca="1">SUMIF(Top!$W$5:$W$168,$B77,Top!Y$5:Y$167)+SUMIF(Mid!$W$5:$W$168,$B77,Mid!Y$5:Y$167)</f>
        <v>14</v>
      </c>
      <c r="E77">
        <f ca="1">SUMIF(Top!$W$5:$W$168,$B77,Top!Z$5:Z$167)+SUMIF(Mid!$W$5:$W$168,$B77,Mid!Z$5:Z$167)</f>
        <v>0</v>
      </c>
      <c r="F77">
        <f ca="1">SUMIF(Top!$W$5:$W$168,$B77,Top!AA$5:AA$167)+SUMIF(Mid!$W$5:$W$168,$B77,Mid!AA$5:AA$167)</f>
        <v>0</v>
      </c>
      <c r="G77">
        <f ca="1">SUMIF(Top!$W$5:$W$168,$B77,Top!AB$5:AB$167)+SUMIF(Mid!$W$5:$W$168,$B77,Mid!AB$5:AB$167)</f>
        <v>0</v>
      </c>
      <c r="H77">
        <f ca="1">SUMIF(Top!$W$5:$W$168,$B77,Top!AC$5:AC$167)+SUMIF(Mid!$W$5:$W$168,$B77,Mid!AC$5:AC$167)</f>
        <v>0</v>
      </c>
      <c r="I77">
        <f ca="1">SUMIF(Top!$W$5:$W$168,$B77,Top!AD$5:AD$167)+SUMIF(Mid!$W$5:$W$168,$B77,Mid!AD$5:AD$167)</f>
        <v>0</v>
      </c>
      <c r="J77">
        <f ca="1">SUMIF(Top!$W$5:$W$168,$B77,Top!AE$5:AE$167)+SUMIF(Mid!$W$5:$W$168,$B77,Mid!AE$5:AE$167)</f>
        <v>0</v>
      </c>
      <c r="K77">
        <f ca="1">SUMIF(Top!$W$5:$W$168,$B77,Top!AF$5:AF$167)+SUMIF(Mid!$W$5:$W$168,$B77,Mid!AF$5:AF$167)</f>
        <v>0</v>
      </c>
      <c r="L77">
        <f ca="1">SUMIF(Top!$W$5:$W$168,$B77,Top!AG$5:AG$167)+SUMIF(Mid!$W$5:$W$168,$B77,Mid!AG$5:AG$167)</f>
        <v>0</v>
      </c>
      <c r="M77">
        <f ca="1">SUMIF(Top!$W$5:$W$168,$B77,Top!AH$5:AH$167)+SUMIF(Mid!$W$5:$W$168,$B77,Mid!AH$5:AH$167)</f>
        <v>0</v>
      </c>
      <c r="N77">
        <f ca="1">SUMIF(Top!$W$5:$W$168,$B77,Top!AI$5:AI$167)+SUMIF(Mid!$W$5:$W$168,$B77,Mid!AI$5:AI$167)</f>
        <v>0</v>
      </c>
      <c r="O77">
        <f ca="1">SUMIF(Top!$W$5:$W$168,$B77,Top!AJ$5:AJ$167)+SUMIF(Mid!$W$5:$W$168,$B77,Mid!AJ$5:AJ$167)</f>
        <v>0</v>
      </c>
      <c r="P77">
        <f ca="1">SUMIF(Top!$W$5:$W$168,$B77,Top!AK$5:AK$167)+SUMIF(Mid!$W$5:$W$168,$B77,Mid!AK$5:AK$167)</f>
        <v>0</v>
      </c>
      <c r="Q77">
        <f t="shared" ca="1" si="2"/>
        <v>14</v>
      </c>
      <c r="R77" s="17">
        <f t="shared" ca="1" si="3"/>
        <v>14</v>
      </c>
    </row>
    <row r="78" spans="2:18" x14ac:dyDescent="0.25">
      <c r="B78" t="s">
        <v>345</v>
      </c>
      <c r="C78">
        <f ca="1">SUMIF(Top!$W$5:$W$168,$B78,Top!X$5:X$167)+SUMIF(Mid!$W$5:$W$168,$B78,Mid!X$5:X$167)</f>
        <v>0</v>
      </c>
      <c r="D78">
        <f ca="1">SUMIF(Top!$W$5:$W$168,$B78,Top!Y$5:Y$167)+SUMIF(Mid!$W$5:$W$168,$B78,Mid!Y$5:Y$167)</f>
        <v>0</v>
      </c>
      <c r="E78">
        <f ca="1">SUMIF(Top!$W$5:$W$168,$B78,Top!Z$5:Z$167)+SUMIF(Mid!$W$5:$W$168,$B78,Mid!Z$5:Z$167)</f>
        <v>0</v>
      </c>
      <c r="F78">
        <f ca="1">SUMIF(Top!$W$5:$W$168,$B78,Top!AA$5:AA$167)+SUMIF(Mid!$W$5:$W$168,$B78,Mid!AA$5:AA$167)</f>
        <v>0</v>
      </c>
      <c r="G78">
        <f ca="1">SUMIF(Top!$W$5:$W$168,$B78,Top!AB$5:AB$167)+SUMIF(Mid!$W$5:$W$168,$B78,Mid!AB$5:AB$167)</f>
        <v>0</v>
      </c>
      <c r="H78">
        <f ca="1">SUMIF(Top!$W$5:$W$168,$B78,Top!AC$5:AC$167)+SUMIF(Mid!$W$5:$W$168,$B78,Mid!AC$5:AC$167)</f>
        <v>0</v>
      </c>
      <c r="I78">
        <f ca="1">SUMIF(Top!$W$5:$W$168,$B78,Top!AD$5:AD$167)+SUMIF(Mid!$W$5:$W$168,$B78,Mid!AD$5:AD$167)</f>
        <v>0</v>
      </c>
      <c r="J78">
        <f ca="1">SUMIF(Top!$W$5:$W$168,$B78,Top!AE$5:AE$167)+SUMIF(Mid!$W$5:$W$168,$B78,Mid!AE$5:AE$167)</f>
        <v>0</v>
      </c>
      <c r="K78">
        <f ca="1">SUMIF(Top!$W$5:$W$168,$B78,Top!AF$5:AF$167)+SUMIF(Mid!$W$5:$W$168,$B78,Mid!AF$5:AF$167)</f>
        <v>0</v>
      </c>
      <c r="L78">
        <f ca="1">SUMIF(Top!$W$5:$W$168,$B78,Top!AG$5:AG$167)+SUMIF(Mid!$W$5:$W$168,$B78,Mid!AG$5:AG$167)</f>
        <v>0</v>
      </c>
      <c r="M78">
        <f ca="1">SUMIF(Top!$W$5:$W$168,$B78,Top!AH$5:AH$167)+SUMIF(Mid!$W$5:$W$168,$B78,Mid!AH$5:AH$167)</f>
        <v>0</v>
      </c>
      <c r="N78">
        <f ca="1">SUMIF(Top!$W$5:$W$168,$B78,Top!AI$5:AI$167)+SUMIF(Mid!$W$5:$W$168,$B78,Mid!AI$5:AI$167)</f>
        <v>0</v>
      </c>
      <c r="O78">
        <f ca="1">SUMIF(Top!$W$5:$W$168,$B78,Top!AJ$5:AJ$167)+SUMIF(Mid!$W$5:$W$168,$B78,Mid!AJ$5:AJ$167)</f>
        <v>0</v>
      </c>
      <c r="P78">
        <f ca="1">SUMIF(Top!$W$5:$W$168,$B78,Top!AK$5:AK$167)+SUMIF(Mid!$W$5:$W$168,$B78,Mid!AK$5:AK$167)</f>
        <v>0</v>
      </c>
      <c r="Q78">
        <f t="shared" ca="1" si="2"/>
        <v>0</v>
      </c>
      <c r="R78" s="17">
        <f t="shared" ca="1" si="3"/>
        <v>0</v>
      </c>
    </row>
    <row r="79" spans="2:18" x14ac:dyDescent="0.25">
      <c r="B79" t="s">
        <v>346</v>
      </c>
      <c r="C79">
        <f ca="1">SUMIF(Top!$W$5:$W$168,$B79,Top!X$5:X$167)+SUMIF(Mid!$W$5:$W$168,$B79,Mid!X$5:X$167)</f>
        <v>0</v>
      </c>
      <c r="D79">
        <f ca="1">SUMIF(Top!$W$5:$W$168,$B79,Top!Y$5:Y$167)+SUMIF(Mid!$W$5:$W$168,$B79,Mid!Y$5:Y$167)</f>
        <v>0</v>
      </c>
      <c r="E79">
        <f ca="1">SUMIF(Top!$W$5:$W$168,$B79,Top!Z$5:Z$167)+SUMIF(Mid!$W$5:$W$168,$B79,Mid!Z$5:Z$167)</f>
        <v>0</v>
      </c>
      <c r="F79">
        <f ca="1">SUMIF(Top!$W$5:$W$168,$B79,Top!AA$5:AA$167)+SUMIF(Mid!$W$5:$W$168,$B79,Mid!AA$5:AA$167)</f>
        <v>0</v>
      </c>
      <c r="G79">
        <f ca="1">SUMIF(Top!$W$5:$W$168,$B79,Top!AB$5:AB$167)+SUMIF(Mid!$W$5:$W$168,$B79,Mid!AB$5:AB$167)</f>
        <v>0</v>
      </c>
      <c r="H79">
        <f ca="1">SUMIF(Top!$W$5:$W$168,$B79,Top!AC$5:AC$167)+SUMIF(Mid!$W$5:$W$168,$B79,Mid!AC$5:AC$167)</f>
        <v>0</v>
      </c>
      <c r="I79">
        <f ca="1">SUMIF(Top!$W$5:$W$168,$B79,Top!AD$5:AD$167)+SUMIF(Mid!$W$5:$W$168,$B79,Mid!AD$5:AD$167)</f>
        <v>0</v>
      </c>
      <c r="J79">
        <f ca="1">SUMIF(Top!$W$5:$W$168,$B79,Top!AE$5:AE$167)+SUMIF(Mid!$W$5:$W$168,$B79,Mid!AE$5:AE$167)</f>
        <v>0</v>
      </c>
      <c r="K79">
        <f ca="1">SUMIF(Top!$W$5:$W$168,$B79,Top!AF$5:AF$167)+SUMIF(Mid!$W$5:$W$168,$B79,Mid!AF$5:AF$167)</f>
        <v>0</v>
      </c>
      <c r="L79">
        <f ca="1">SUMIF(Top!$W$5:$W$168,$B79,Top!AG$5:AG$167)+SUMIF(Mid!$W$5:$W$168,$B79,Mid!AG$5:AG$167)</f>
        <v>0</v>
      </c>
      <c r="M79">
        <f ca="1">SUMIF(Top!$W$5:$W$168,$B79,Top!AH$5:AH$167)+SUMIF(Mid!$W$5:$W$168,$B79,Mid!AH$5:AH$167)</f>
        <v>0</v>
      </c>
      <c r="N79">
        <f ca="1">SUMIF(Top!$W$5:$W$168,$B79,Top!AI$5:AI$167)+SUMIF(Mid!$W$5:$W$168,$B79,Mid!AI$5:AI$167)</f>
        <v>0</v>
      </c>
      <c r="O79">
        <f ca="1">SUMIF(Top!$W$5:$W$168,$B79,Top!AJ$5:AJ$167)+SUMIF(Mid!$W$5:$W$168,$B79,Mid!AJ$5:AJ$167)</f>
        <v>0</v>
      </c>
      <c r="P79">
        <f ca="1">SUMIF(Top!$W$5:$W$168,$B79,Top!AK$5:AK$167)+SUMIF(Mid!$W$5:$W$168,$B79,Mid!AK$5:AK$167)</f>
        <v>0</v>
      </c>
      <c r="Q79">
        <f t="shared" ca="1" si="2"/>
        <v>0</v>
      </c>
      <c r="R79" s="17">
        <f t="shared" ca="1" si="3"/>
        <v>0</v>
      </c>
    </row>
    <row r="80" spans="2:18" x14ac:dyDescent="0.25">
      <c r="B80" t="s">
        <v>347</v>
      </c>
      <c r="C80">
        <f ca="1">SUMIF(Top!$W$5:$W$168,$B80,Top!X$5:X$167)+SUMIF(Mid!$W$5:$W$168,$B80,Mid!X$5:X$167)</f>
        <v>0</v>
      </c>
      <c r="D80">
        <f ca="1">SUMIF(Top!$W$5:$W$168,$B80,Top!Y$5:Y$167)+SUMIF(Mid!$W$5:$W$168,$B80,Mid!Y$5:Y$167)</f>
        <v>0</v>
      </c>
      <c r="E80">
        <f ca="1">SUMIF(Top!$W$5:$W$168,$B80,Top!Z$5:Z$167)+SUMIF(Mid!$W$5:$W$168,$B80,Mid!Z$5:Z$167)</f>
        <v>0</v>
      </c>
      <c r="F80">
        <f ca="1">SUMIF(Top!$W$5:$W$168,$B80,Top!AA$5:AA$167)+SUMIF(Mid!$W$5:$W$168,$B80,Mid!AA$5:AA$167)</f>
        <v>0</v>
      </c>
      <c r="G80">
        <f ca="1">SUMIF(Top!$W$5:$W$168,$B80,Top!AB$5:AB$167)+SUMIF(Mid!$W$5:$W$168,$B80,Mid!AB$5:AB$167)</f>
        <v>0</v>
      </c>
      <c r="H80">
        <f ca="1">SUMIF(Top!$W$5:$W$168,$B80,Top!AC$5:AC$167)+SUMIF(Mid!$W$5:$W$168,$B80,Mid!AC$5:AC$167)</f>
        <v>0</v>
      </c>
      <c r="I80">
        <f ca="1">SUMIF(Top!$W$5:$W$168,$B80,Top!AD$5:AD$167)+SUMIF(Mid!$W$5:$W$168,$B80,Mid!AD$5:AD$167)</f>
        <v>0</v>
      </c>
      <c r="J80">
        <f ca="1">SUMIF(Top!$W$5:$W$168,$B80,Top!AE$5:AE$167)+SUMIF(Mid!$W$5:$W$168,$B80,Mid!AE$5:AE$167)</f>
        <v>0</v>
      </c>
      <c r="K80">
        <f ca="1">SUMIF(Top!$W$5:$W$168,$B80,Top!AF$5:AF$167)+SUMIF(Mid!$W$5:$W$168,$B80,Mid!AF$5:AF$167)</f>
        <v>0</v>
      </c>
      <c r="L80">
        <f ca="1">SUMIF(Top!$W$5:$W$168,$B80,Top!AG$5:AG$167)+SUMIF(Mid!$W$5:$W$168,$B80,Mid!AG$5:AG$167)</f>
        <v>0</v>
      </c>
      <c r="M80">
        <f ca="1">SUMIF(Top!$W$5:$W$168,$B80,Top!AH$5:AH$167)+SUMIF(Mid!$W$5:$W$168,$B80,Mid!AH$5:AH$167)</f>
        <v>0</v>
      </c>
      <c r="N80">
        <f ca="1">SUMIF(Top!$W$5:$W$168,$B80,Top!AI$5:AI$167)+SUMIF(Mid!$W$5:$W$168,$B80,Mid!AI$5:AI$167)</f>
        <v>0</v>
      </c>
      <c r="O80">
        <f ca="1">SUMIF(Top!$W$5:$W$168,$B80,Top!AJ$5:AJ$167)+SUMIF(Mid!$W$5:$W$168,$B80,Mid!AJ$5:AJ$167)</f>
        <v>0</v>
      </c>
      <c r="P80">
        <f ca="1">SUMIF(Top!$W$5:$W$168,$B80,Top!AK$5:AK$167)+SUMIF(Mid!$W$5:$W$168,$B80,Mid!AK$5:AK$167)</f>
        <v>0</v>
      </c>
      <c r="Q80">
        <f t="shared" ca="1" si="2"/>
        <v>0</v>
      </c>
      <c r="R80" s="17">
        <f t="shared" ca="1" si="3"/>
        <v>0</v>
      </c>
    </row>
    <row r="81" spans="2:18" x14ac:dyDescent="0.25">
      <c r="B81" t="s">
        <v>348</v>
      </c>
      <c r="C81">
        <f ca="1">SUMIF(Top!$W$5:$W$168,$B81,Top!X$5:X$167)+SUMIF(Mid!$W$5:$W$168,$B81,Mid!X$5:X$167)</f>
        <v>0</v>
      </c>
      <c r="D81">
        <f ca="1">SUMIF(Top!$W$5:$W$168,$B81,Top!Y$5:Y$167)+SUMIF(Mid!$W$5:$W$168,$B81,Mid!Y$5:Y$167)</f>
        <v>0</v>
      </c>
      <c r="E81">
        <f ca="1">SUMIF(Top!$W$5:$W$168,$B81,Top!Z$5:Z$167)+SUMIF(Mid!$W$5:$W$168,$B81,Mid!Z$5:Z$167)</f>
        <v>0</v>
      </c>
      <c r="F81">
        <f ca="1">SUMIF(Top!$W$5:$W$168,$B81,Top!AA$5:AA$167)+SUMIF(Mid!$W$5:$W$168,$B81,Mid!AA$5:AA$167)</f>
        <v>0</v>
      </c>
      <c r="G81">
        <f ca="1">SUMIF(Top!$W$5:$W$168,$B81,Top!AB$5:AB$167)+SUMIF(Mid!$W$5:$W$168,$B81,Mid!AB$5:AB$167)</f>
        <v>0</v>
      </c>
      <c r="H81">
        <f ca="1">SUMIF(Top!$W$5:$W$168,$B81,Top!AC$5:AC$167)+SUMIF(Mid!$W$5:$W$168,$B81,Mid!AC$5:AC$167)</f>
        <v>0</v>
      </c>
      <c r="I81">
        <f ca="1">SUMIF(Top!$W$5:$W$168,$B81,Top!AD$5:AD$167)+SUMIF(Mid!$W$5:$W$168,$B81,Mid!AD$5:AD$167)</f>
        <v>0</v>
      </c>
      <c r="J81">
        <f ca="1">SUMIF(Top!$W$5:$W$168,$B81,Top!AE$5:AE$167)+SUMIF(Mid!$W$5:$W$168,$B81,Mid!AE$5:AE$167)</f>
        <v>0</v>
      </c>
      <c r="K81">
        <f ca="1">SUMIF(Top!$W$5:$W$168,$B81,Top!AF$5:AF$167)+SUMIF(Mid!$W$5:$W$168,$B81,Mid!AF$5:AF$167)</f>
        <v>0</v>
      </c>
      <c r="L81">
        <f ca="1">SUMIF(Top!$W$5:$W$168,$B81,Top!AG$5:AG$167)+SUMIF(Mid!$W$5:$W$168,$B81,Mid!AG$5:AG$167)</f>
        <v>0</v>
      </c>
      <c r="M81">
        <f ca="1">SUMIF(Top!$W$5:$W$168,$B81,Top!AH$5:AH$167)+SUMIF(Mid!$W$5:$W$168,$B81,Mid!AH$5:AH$167)</f>
        <v>0</v>
      </c>
      <c r="N81">
        <f ca="1">SUMIF(Top!$W$5:$W$168,$B81,Top!AI$5:AI$167)+SUMIF(Mid!$W$5:$W$168,$B81,Mid!AI$5:AI$167)</f>
        <v>0</v>
      </c>
      <c r="O81">
        <f ca="1">SUMIF(Top!$W$5:$W$168,$B81,Top!AJ$5:AJ$167)+SUMIF(Mid!$W$5:$W$168,$B81,Mid!AJ$5:AJ$167)</f>
        <v>0</v>
      </c>
      <c r="P81">
        <f ca="1">SUMIF(Top!$W$5:$W$168,$B81,Top!AK$5:AK$167)+SUMIF(Mid!$W$5:$W$168,$B81,Mid!AK$5:AK$167)</f>
        <v>0</v>
      </c>
      <c r="Q81">
        <f t="shared" ca="1" si="2"/>
        <v>0</v>
      </c>
      <c r="R81" s="17">
        <f t="shared" ca="1" si="3"/>
        <v>0</v>
      </c>
    </row>
    <row r="82" spans="2:18" x14ac:dyDescent="0.25">
      <c r="B82" t="s">
        <v>69</v>
      </c>
      <c r="C82">
        <f ca="1">SUMIF(Top!$W$5:$W$168,$B82,Top!X$5:X$167)+SUMIF(Mid!$W$5:$W$168,$B82,Mid!X$5:X$167)</f>
        <v>0</v>
      </c>
      <c r="D82">
        <f ca="1">SUMIF(Top!$W$5:$W$168,$B82,Top!Y$5:Y$167)+SUMIF(Mid!$W$5:$W$168,$B82,Mid!Y$5:Y$167)</f>
        <v>0</v>
      </c>
      <c r="E82">
        <f ca="1">SUMIF(Top!$W$5:$W$168,$B82,Top!Z$5:Z$167)+SUMIF(Mid!$W$5:$W$168,$B82,Mid!Z$5:Z$167)</f>
        <v>0</v>
      </c>
      <c r="F82">
        <f ca="1">SUMIF(Top!$W$5:$W$168,$B82,Top!AA$5:AA$167)+SUMIF(Mid!$W$5:$W$168,$B82,Mid!AA$5:AA$167)</f>
        <v>0</v>
      </c>
      <c r="G82">
        <f ca="1">SUMIF(Top!$W$5:$W$168,$B82,Top!AB$5:AB$167)+SUMIF(Mid!$W$5:$W$168,$B82,Mid!AB$5:AB$167)</f>
        <v>0</v>
      </c>
      <c r="H82">
        <f ca="1">SUMIF(Top!$W$5:$W$168,$B82,Top!AC$5:AC$167)+SUMIF(Mid!$W$5:$W$168,$B82,Mid!AC$5:AC$167)</f>
        <v>0</v>
      </c>
      <c r="I82">
        <f ca="1">SUMIF(Top!$W$5:$W$168,$B82,Top!AD$5:AD$167)+SUMIF(Mid!$W$5:$W$168,$B82,Mid!AD$5:AD$167)</f>
        <v>0</v>
      </c>
      <c r="J82">
        <f ca="1">SUMIF(Top!$W$5:$W$168,$B82,Top!AE$5:AE$167)+SUMIF(Mid!$W$5:$W$168,$B82,Mid!AE$5:AE$167)</f>
        <v>0</v>
      </c>
      <c r="K82">
        <f ca="1">SUMIF(Top!$W$5:$W$168,$B82,Top!AF$5:AF$167)+SUMIF(Mid!$W$5:$W$168,$B82,Mid!AF$5:AF$167)</f>
        <v>0</v>
      </c>
      <c r="L82">
        <f ca="1">SUMIF(Top!$W$5:$W$168,$B82,Top!AG$5:AG$167)+SUMIF(Mid!$W$5:$W$168,$B82,Mid!AG$5:AG$167)</f>
        <v>0</v>
      </c>
      <c r="M82">
        <f ca="1">SUMIF(Top!$W$5:$W$168,$B82,Top!AH$5:AH$167)+SUMIF(Mid!$W$5:$W$168,$B82,Mid!AH$5:AH$167)</f>
        <v>0</v>
      </c>
      <c r="N82">
        <f ca="1">SUMIF(Top!$W$5:$W$168,$B82,Top!AI$5:AI$167)+SUMIF(Mid!$W$5:$W$168,$B82,Mid!AI$5:AI$167)</f>
        <v>0</v>
      </c>
      <c r="O82">
        <f ca="1">SUMIF(Top!$W$5:$W$168,$B82,Top!AJ$5:AJ$167)+SUMIF(Mid!$W$5:$W$168,$B82,Mid!AJ$5:AJ$167)</f>
        <v>0</v>
      </c>
      <c r="P82">
        <f ca="1">SUMIF(Top!$W$5:$W$168,$B82,Top!AK$5:AK$167)+SUMIF(Mid!$W$5:$W$168,$B82,Mid!AK$5:AK$167)</f>
        <v>0</v>
      </c>
      <c r="Q82">
        <f t="shared" ca="1" si="2"/>
        <v>0</v>
      </c>
      <c r="R82" s="17">
        <f t="shared" ca="1" si="3"/>
        <v>0</v>
      </c>
    </row>
    <row r="83" spans="2:18" x14ac:dyDescent="0.25">
      <c r="B83" t="s">
        <v>70</v>
      </c>
      <c r="C83">
        <f ca="1">SUMIF(Top!$W$5:$W$168,$B83,Top!X$5:X$167)+SUMIF(Mid!$W$5:$W$168,$B83,Mid!X$5:X$167)</f>
        <v>0</v>
      </c>
      <c r="D83">
        <f ca="1">SUMIF(Top!$W$5:$W$168,$B83,Top!Y$5:Y$167)+SUMIF(Mid!$W$5:$W$168,$B83,Mid!Y$5:Y$167)</f>
        <v>0</v>
      </c>
      <c r="E83">
        <f ca="1">SUMIF(Top!$W$5:$W$168,$B83,Top!Z$5:Z$167)+SUMIF(Mid!$W$5:$W$168,$B83,Mid!Z$5:Z$167)</f>
        <v>0</v>
      </c>
      <c r="F83">
        <f ca="1">SUMIF(Top!$W$5:$W$168,$B83,Top!AA$5:AA$167)+SUMIF(Mid!$W$5:$W$168,$B83,Mid!AA$5:AA$167)</f>
        <v>0</v>
      </c>
      <c r="G83">
        <f ca="1">SUMIF(Top!$W$5:$W$168,$B83,Top!AB$5:AB$167)+SUMIF(Mid!$W$5:$W$168,$B83,Mid!AB$5:AB$167)</f>
        <v>0</v>
      </c>
      <c r="H83">
        <f ca="1">SUMIF(Top!$W$5:$W$168,$B83,Top!AC$5:AC$167)+SUMIF(Mid!$W$5:$W$168,$B83,Mid!AC$5:AC$167)</f>
        <v>0</v>
      </c>
      <c r="I83">
        <f ca="1">SUMIF(Top!$W$5:$W$168,$B83,Top!AD$5:AD$167)+SUMIF(Mid!$W$5:$W$168,$B83,Mid!AD$5:AD$167)</f>
        <v>0</v>
      </c>
      <c r="J83">
        <f ca="1">SUMIF(Top!$W$5:$W$168,$B83,Top!AE$5:AE$167)+SUMIF(Mid!$W$5:$W$168,$B83,Mid!AE$5:AE$167)</f>
        <v>0</v>
      </c>
      <c r="K83">
        <f ca="1">SUMIF(Top!$W$5:$W$168,$B83,Top!AF$5:AF$167)+SUMIF(Mid!$W$5:$W$168,$B83,Mid!AF$5:AF$167)</f>
        <v>0</v>
      </c>
      <c r="L83">
        <f ca="1">SUMIF(Top!$W$5:$W$168,$B83,Top!AG$5:AG$167)+SUMIF(Mid!$W$5:$W$168,$B83,Mid!AG$5:AG$167)</f>
        <v>0</v>
      </c>
      <c r="M83">
        <f ca="1">SUMIF(Top!$W$5:$W$168,$B83,Top!AH$5:AH$167)+SUMIF(Mid!$W$5:$W$168,$B83,Mid!AH$5:AH$167)</f>
        <v>0</v>
      </c>
      <c r="N83">
        <f ca="1">SUMIF(Top!$W$5:$W$168,$B83,Top!AI$5:AI$167)+SUMIF(Mid!$W$5:$W$168,$B83,Mid!AI$5:AI$167)</f>
        <v>0</v>
      </c>
      <c r="O83">
        <f ca="1">SUMIF(Top!$W$5:$W$168,$B83,Top!AJ$5:AJ$167)+SUMIF(Mid!$W$5:$W$168,$B83,Mid!AJ$5:AJ$167)</f>
        <v>0</v>
      </c>
      <c r="P83">
        <f ca="1">SUMIF(Top!$W$5:$W$168,$B83,Top!AK$5:AK$167)+SUMIF(Mid!$W$5:$W$168,$B83,Mid!AK$5:AK$167)</f>
        <v>0</v>
      </c>
      <c r="Q83">
        <f t="shared" ca="1" si="2"/>
        <v>0</v>
      </c>
      <c r="R83" s="17">
        <f t="shared" ca="1" si="3"/>
        <v>0</v>
      </c>
    </row>
    <row r="84" spans="2:18" x14ac:dyDescent="0.25">
      <c r="B84" t="s">
        <v>72</v>
      </c>
      <c r="C84">
        <f ca="1">SUMIF(Top!$W$5:$W$168,$B84,Top!X$5:X$167)+SUMIF(Mid!$W$5:$W$168,$B84,Mid!X$5:X$167)</f>
        <v>12</v>
      </c>
      <c r="D84">
        <f ca="1">SUMIF(Top!$W$5:$W$168,$B84,Top!Y$5:Y$167)+SUMIF(Mid!$W$5:$W$168,$B84,Mid!Y$5:Y$167)</f>
        <v>0</v>
      </c>
      <c r="E84">
        <f ca="1">SUMIF(Top!$W$5:$W$168,$B84,Top!Z$5:Z$167)+SUMIF(Mid!$W$5:$W$168,$B84,Mid!Z$5:Z$167)</f>
        <v>0</v>
      </c>
      <c r="F84">
        <f ca="1">SUMIF(Top!$W$5:$W$168,$B84,Top!AA$5:AA$167)+SUMIF(Mid!$W$5:$W$168,$B84,Mid!AA$5:AA$167)</f>
        <v>0</v>
      </c>
      <c r="G84">
        <f ca="1">SUMIF(Top!$W$5:$W$168,$B84,Top!AB$5:AB$167)+SUMIF(Mid!$W$5:$W$168,$B84,Mid!AB$5:AB$167)</f>
        <v>0</v>
      </c>
      <c r="H84">
        <f ca="1">SUMIF(Top!$W$5:$W$168,$B84,Top!AC$5:AC$167)+SUMIF(Mid!$W$5:$W$168,$B84,Mid!AC$5:AC$167)</f>
        <v>0</v>
      </c>
      <c r="I84">
        <f ca="1">SUMIF(Top!$W$5:$W$168,$B84,Top!AD$5:AD$167)+SUMIF(Mid!$W$5:$W$168,$B84,Mid!AD$5:AD$167)</f>
        <v>0</v>
      </c>
      <c r="J84">
        <f ca="1">SUMIF(Top!$W$5:$W$168,$B84,Top!AE$5:AE$167)+SUMIF(Mid!$W$5:$W$168,$B84,Mid!AE$5:AE$167)</f>
        <v>0</v>
      </c>
      <c r="K84">
        <f ca="1">SUMIF(Top!$W$5:$W$168,$B84,Top!AF$5:AF$167)+SUMIF(Mid!$W$5:$W$168,$B84,Mid!AF$5:AF$167)</f>
        <v>0</v>
      </c>
      <c r="L84">
        <f ca="1">SUMIF(Top!$W$5:$W$168,$B84,Top!AG$5:AG$167)+SUMIF(Mid!$W$5:$W$168,$B84,Mid!AG$5:AG$167)</f>
        <v>0</v>
      </c>
      <c r="M84">
        <f ca="1">SUMIF(Top!$W$5:$W$168,$B84,Top!AH$5:AH$167)+SUMIF(Mid!$W$5:$W$168,$B84,Mid!AH$5:AH$167)</f>
        <v>0</v>
      </c>
      <c r="N84">
        <f ca="1">SUMIF(Top!$W$5:$W$168,$B84,Top!AI$5:AI$167)+SUMIF(Mid!$W$5:$W$168,$B84,Mid!AI$5:AI$167)</f>
        <v>0</v>
      </c>
      <c r="O84">
        <f ca="1">SUMIF(Top!$W$5:$W$168,$B84,Top!AJ$5:AJ$167)+SUMIF(Mid!$W$5:$W$168,$B84,Mid!AJ$5:AJ$167)</f>
        <v>0</v>
      </c>
      <c r="P84">
        <f ca="1">SUMIF(Top!$W$5:$W$168,$B84,Top!AK$5:AK$167)+SUMIF(Mid!$W$5:$W$168,$B84,Mid!AK$5:AK$167)</f>
        <v>0</v>
      </c>
      <c r="Q84">
        <f t="shared" ca="1" si="2"/>
        <v>12</v>
      </c>
      <c r="R84" s="17">
        <f t="shared" ca="1" si="3"/>
        <v>12</v>
      </c>
    </row>
    <row r="85" spans="2:18" x14ac:dyDescent="0.25">
      <c r="B85" t="s">
        <v>73</v>
      </c>
      <c r="C85">
        <f ca="1">SUMIF(Top!$W$5:$W$168,$B85,Top!X$5:X$167)+SUMIF(Mid!$W$5:$W$168,$B85,Mid!X$5:X$167)</f>
        <v>0</v>
      </c>
      <c r="D85">
        <f ca="1">SUMIF(Top!$W$5:$W$168,$B85,Top!Y$5:Y$167)+SUMIF(Mid!$W$5:$W$168,$B85,Mid!Y$5:Y$167)</f>
        <v>0</v>
      </c>
      <c r="E85">
        <f ca="1">SUMIF(Top!$W$5:$W$168,$B85,Top!Z$5:Z$167)+SUMIF(Mid!$W$5:$W$168,$B85,Mid!Z$5:Z$167)</f>
        <v>0</v>
      </c>
      <c r="F85">
        <f ca="1">SUMIF(Top!$W$5:$W$168,$B85,Top!AA$5:AA$167)+SUMIF(Mid!$W$5:$W$168,$B85,Mid!AA$5:AA$167)</f>
        <v>0</v>
      </c>
      <c r="G85">
        <f ca="1">SUMIF(Top!$W$5:$W$168,$B85,Top!AB$5:AB$167)+SUMIF(Mid!$W$5:$W$168,$B85,Mid!AB$5:AB$167)</f>
        <v>0</v>
      </c>
      <c r="H85">
        <f ca="1">SUMIF(Top!$W$5:$W$168,$B85,Top!AC$5:AC$167)+SUMIF(Mid!$W$5:$W$168,$B85,Mid!AC$5:AC$167)</f>
        <v>0</v>
      </c>
      <c r="I85">
        <f ca="1">SUMIF(Top!$W$5:$W$168,$B85,Top!AD$5:AD$167)+SUMIF(Mid!$W$5:$W$168,$B85,Mid!AD$5:AD$167)</f>
        <v>0</v>
      </c>
      <c r="J85">
        <f ca="1">SUMIF(Top!$W$5:$W$168,$B85,Top!AE$5:AE$167)+SUMIF(Mid!$W$5:$W$168,$B85,Mid!AE$5:AE$167)</f>
        <v>0</v>
      </c>
      <c r="K85">
        <f ca="1">SUMIF(Top!$W$5:$W$168,$B85,Top!AF$5:AF$167)+SUMIF(Mid!$W$5:$W$168,$B85,Mid!AF$5:AF$167)</f>
        <v>0</v>
      </c>
      <c r="L85">
        <f ca="1">SUMIF(Top!$W$5:$W$168,$B85,Top!AG$5:AG$167)+SUMIF(Mid!$W$5:$W$168,$B85,Mid!AG$5:AG$167)</f>
        <v>0</v>
      </c>
      <c r="M85">
        <f ca="1">SUMIF(Top!$W$5:$W$168,$B85,Top!AH$5:AH$167)+SUMIF(Mid!$W$5:$W$168,$B85,Mid!AH$5:AH$167)</f>
        <v>0</v>
      </c>
      <c r="N85">
        <f ca="1">SUMIF(Top!$W$5:$W$168,$B85,Top!AI$5:AI$167)+SUMIF(Mid!$W$5:$W$168,$B85,Mid!AI$5:AI$167)</f>
        <v>0</v>
      </c>
      <c r="O85">
        <f ca="1">SUMIF(Top!$W$5:$W$168,$B85,Top!AJ$5:AJ$167)+SUMIF(Mid!$W$5:$W$168,$B85,Mid!AJ$5:AJ$167)</f>
        <v>0</v>
      </c>
      <c r="P85">
        <f ca="1">SUMIF(Top!$W$5:$W$168,$B85,Top!AK$5:AK$167)+SUMIF(Mid!$W$5:$W$168,$B85,Mid!AK$5:AK$167)</f>
        <v>0</v>
      </c>
      <c r="Q85">
        <f t="shared" ca="1" si="2"/>
        <v>0</v>
      </c>
      <c r="R85" s="17">
        <f t="shared" ca="1" si="3"/>
        <v>0</v>
      </c>
    </row>
    <row r="86" spans="2:18" x14ac:dyDescent="0.25">
      <c r="B86" t="s">
        <v>75</v>
      </c>
      <c r="C86">
        <f ca="1">SUMIF(Top!$W$5:$W$168,$B86,Top!X$5:X$167)+SUMIF(Mid!$W$5:$W$168,$B86,Mid!X$5:X$167)</f>
        <v>0</v>
      </c>
      <c r="D86">
        <f ca="1">SUMIF(Top!$W$5:$W$168,$B86,Top!Y$5:Y$167)+SUMIF(Mid!$W$5:$W$168,$B86,Mid!Y$5:Y$167)</f>
        <v>0</v>
      </c>
      <c r="E86">
        <f ca="1">SUMIF(Top!$W$5:$W$168,$B86,Top!Z$5:Z$167)+SUMIF(Mid!$W$5:$W$168,$B86,Mid!Z$5:Z$167)</f>
        <v>0</v>
      </c>
      <c r="F86">
        <f ca="1">SUMIF(Top!$W$5:$W$168,$B86,Top!AA$5:AA$167)+SUMIF(Mid!$W$5:$W$168,$B86,Mid!AA$5:AA$167)</f>
        <v>0</v>
      </c>
      <c r="G86">
        <f ca="1">SUMIF(Top!$W$5:$W$168,$B86,Top!AB$5:AB$167)+SUMIF(Mid!$W$5:$W$168,$B86,Mid!AB$5:AB$167)</f>
        <v>0</v>
      </c>
      <c r="H86">
        <f ca="1">SUMIF(Top!$W$5:$W$168,$B86,Top!AC$5:AC$167)+SUMIF(Mid!$W$5:$W$168,$B86,Mid!AC$5:AC$167)</f>
        <v>0</v>
      </c>
      <c r="I86">
        <f ca="1">SUMIF(Top!$W$5:$W$168,$B86,Top!AD$5:AD$167)+SUMIF(Mid!$W$5:$W$168,$B86,Mid!AD$5:AD$167)</f>
        <v>0</v>
      </c>
      <c r="J86">
        <f ca="1">SUMIF(Top!$W$5:$W$168,$B86,Top!AE$5:AE$167)+SUMIF(Mid!$W$5:$W$168,$B86,Mid!AE$5:AE$167)</f>
        <v>0</v>
      </c>
      <c r="K86">
        <f ca="1">SUMIF(Top!$W$5:$W$168,$B86,Top!AF$5:AF$167)+SUMIF(Mid!$W$5:$W$168,$B86,Mid!AF$5:AF$167)</f>
        <v>0</v>
      </c>
      <c r="L86">
        <f ca="1">SUMIF(Top!$W$5:$W$168,$B86,Top!AG$5:AG$167)+SUMIF(Mid!$W$5:$W$168,$B86,Mid!AG$5:AG$167)</f>
        <v>0</v>
      </c>
      <c r="M86">
        <f ca="1">SUMIF(Top!$W$5:$W$168,$B86,Top!AH$5:AH$167)+SUMIF(Mid!$W$5:$W$168,$B86,Mid!AH$5:AH$167)</f>
        <v>0</v>
      </c>
      <c r="N86">
        <f ca="1">SUMIF(Top!$W$5:$W$168,$B86,Top!AI$5:AI$167)+SUMIF(Mid!$W$5:$W$168,$B86,Mid!AI$5:AI$167)</f>
        <v>0</v>
      </c>
      <c r="O86">
        <f ca="1">SUMIF(Top!$W$5:$W$168,$B86,Top!AJ$5:AJ$167)+SUMIF(Mid!$W$5:$W$168,$B86,Mid!AJ$5:AJ$167)</f>
        <v>0</v>
      </c>
      <c r="P86">
        <f ca="1">SUMIF(Top!$W$5:$W$168,$B86,Top!AK$5:AK$167)+SUMIF(Mid!$W$5:$W$168,$B86,Mid!AK$5:AK$167)</f>
        <v>0</v>
      </c>
      <c r="Q86">
        <f t="shared" ca="1" si="2"/>
        <v>0</v>
      </c>
      <c r="R86" s="17">
        <f t="shared" ca="1" si="3"/>
        <v>0</v>
      </c>
    </row>
    <row r="87" spans="2:18" x14ac:dyDescent="0.25">
      <c r="B87" t="s">
        <v>77</v>
      </c>
      <c r="C87">
        <f ca="1">SUMIF(Top!$W$5:$W$168,$B87,Top!X$5:X$167)+SUMIF(Mid!$W$5:$W$168,$B87,Mid!X$5:X$167)</f>
        <v>0</v>
      </c>
      <c r="D87">
        <f ca="1">SUMIF(Top!$W$5:$W$168,$B87,Top!Y$5:Y$167)+SUMIF(Mid!$W$5:$W$168,$B87,Mid!Y$5:Y$167)</f>
        <v>0</v>
      </c>
      <c r="E87">
        <f ca="1">SUMIF(Top!$W$5:$W$168,$B87,Top!Z$5:Z$167)+SUMIF(Mid!$W$5:$W$168,$B87,Mid!Z$5:Z$167)</f>
        <v>0</v>
      </c>
      <c r="F87">
        <f ca="1">SUMIF(Top!$W$5:$W$168,$B87,Top!AA$5:AA$167)+SUMIF(Mid!$W$5:$W$168,$B87,Mid!AA$5:AA$167)</f>
        <v>0</v>
      </c>
      <c r="G87">
        <f ca="1">SUMIF(Top!$W$5:$W$168,$B87,Top!AB$5:AB$167)+SUMIF(Mid!$W$5:$W$168,$B87,Mid!AB$5:AB$167)</f>
        <v>0</v>
      </c>
      <c r="H87">
        <f ca="1">SUMIF(Top!$W$5:$W$168,$B87,Top!AC$5:AC$167)+SUMIF(Mid!$W$5:$W$168,$B87,Mid!AC$5:AC$167)</f>
        <v>0</v>
      </c>
      <c r="I87">
        <f ca="1">SUMIF(Top!$W$5:$W$168,$B87,Top!AD$5:AD$167)+SUMIF(Mid!$W$5:$W$168,$B87,Mid!AD$5:AD$167)</f>
        <v>0</v>
      </c>
      <c r="J87">
        <f ca="1">SUMIF(Top!$W$5:$W$168,$B87,Top!AE$5:AE$167)+SUMIF(Mid!$W$5:$W$168,$B87,Mid!AE$5:AE$167)</f>
        <v>0</v>
      </c>
      <c r="K87">
        <f ca="1">SUMIF(Top!$W$5:$W$168,$B87,Top!AF$5:AF$167)+SUMIF(Mid!$W$5:$W$168,$B87,Mid!AF$5:AF$167)</f>
        <v>0</v>
      </c>
      <c r="L87">
        <f ca="1">SUMIF(Top!$W$5:$W$168,$B87,Top!AG$5:AG$167)+SUMIF(Mid!$W$5:$W$168,$B87,Mid!AG$5:AG$167)</f>
        <v>0</v>
      </c>
      <c r="M87">
        <f ca="1">SUMIF(Top!$W$5:$W$168,$B87,Top!AH$5:AH$167)+SUMIF(Mid!$W$5:$W$168,$B87,Mid!AH$5:AH$167)</f>
        <v>0</v>
      </c>
      <c r="N87">
        <f ca="1">SUMIF(Top!$W$5:$W$168,$B87,Top!AI$5:AI$167)+SUMIF(Mid!$W$5:$W$168,$B87,Mid!AI$5:AI$167)</f>
        <v>0</v>
      </c>
      <c r="O87">
        <f ca="1">SUMIF(Top!$W$5:$W$168,$B87,Top!AJ$5:AJ$167)+SUMIF(Mid!$W$5:$W$168,$B87,Mid!AJ$5:AJ$167)</f>
        <v>0</v>
      </c>
      <c r="P87">
        <f ca="1">SUMIF(Top!$W$5:$W$168,$B87,Top!AK$5:AK$167)+SUMIF(Mid!$W$5:$W$168,$B87,Mid!AK$5:AK$167)</f>
        <v>0</v>
      </c>
      <c r="Q87">
        <f t="shared" ca="1" si="2"/>
        <v>0</v>
      </c>
      <c r="R87" s="17">
        <f t="shared" ca="1" si="3"/>
        <v>0</v>
      </c>
    </row>
    <row r="88" spans="2:18" x14ac:dyDescent="0.25">
      <c r="B88" t="s">
        <v>78</v>
      </c>
      <c r="C88">
        <f ca="1">SUMIF(Top!$W$5:$W$168,$B88,Top!X$5:X$167)+SUMIF(Mid!$W$5:$W$168,$B88,Mid!X$5:X$167)</f>
        <v>0</v>
      </c>
      <c r="D88">
        <f ca="1">SUMIF(Top!$W$5:$W$168,$B88,Top!Y$5:Y$167)+SUMIF(Mid!$W$5:$W$168,$B88,Mid!Y$5:Y$167)</f>
        <v>0</v>
      </c>
      <c r="E88">
        <f ca="1">SUMIF(Top!$W$5:$W$168,$B88,Top!Z$5:Z$167)+SUMIF(Mid!$W$5:$W$168,$B88,Mid!Z$5:Z$167)</f>
        <v>0</v>
      </c>
      <c r="F88">
        <f ca="1">SUMIF(Top!$W$5:$W$168,$B88,Top!AA$5:AA$167)+SUMIF(Mid!$W$5:$W$168,$B88,Mid!AA$5:AA$167)</f>
        <v>0</v>
      </c>
      <c r="G88">
        <f ca="1">SUMIF(Top!$W$5:$W$168,$B88,Top!AB$5:AB$167)+SUMIF(Mid!$W$5:$W$168,$B88,Mid!AB$5:AB$167)</f>
        <v>0</v>
      </c>
      <c r="H88">
        <f ca="1">SUMIF(Top!$W$5:$W$168,$B88,Top!AC$5:AC$167)+SUMIF(Mid!$W$5:$W$168,$B88,Mid!AC$5:AC$167)</f>
        <v>0</v>
      </c>
      <c r="I88">
        <f ca="1">SUMIF(Top!$W$5:$W$168,$B88,Top!AD$5:AD$167)+SUMIF(Mid!$W$5:$W$168,$B88,Mid!AD$5:AD$167)</f>
        <v>0</v>
      </c>
      <c r="J88">
        <f ca="1">SUMIF(Top!$W$5:$W$168,$B88,Top!AE$5:AE$167)+SUMIF(Mid!$W$5:$W$168,$B88,Mid!AE$5:AE$167)</f>
        <v>0</v>
      </c>
      <c r="K88">
        <f ca="1">SUMIF(Top!$W$5:$W$168,$B88,Top!AF$5:AF$167)+SUMIF(Mid!$W$5:$W$168,$B88,Mid!AF$5:AF$167)</f>
        <v>0</v>
      </c>
      <c r="L88">
        <f ca="1">SUMIF(Top!$W$5:$W$168,$B88,Top!AG$5:AG$167)+SUMIF(Mid!$W$5:$W$168,$B88,Mid!AG$5:AG$167)</f>
        <v>0</v>
      </c>
      <c r="M88">
        <f ca="1">SUMIF(Top!$W$5:$W$168,$B88,Top!AH$5:AH$167)+SUMIF(Mid!$W$5:$W$168,$B88,Mid!AH$5:AH$167)</f>
        <v>0</v>
      </c>
      <c r="N88">
        <f ca="1">SUMIF(Top!$W$5:$W$168,$B88,Top!AI$5:AI$167)+SUMIF(Mid!$W$5:$W$168,$B88,Mid!AI$5:AI$167)</f>
        <v>0</v>
      </c>
      <c r="O88">
        <f ca="1">SUMIF(Top!$W$5:$W$168,$B88,Top!AJ$5:AJ$167)+SUMIF(Mid!$W$5:$W$168,$B88,Mid!AJ$5:AJ$167)</f>
        <v>0</v>
      </c>
      <c r="P88">
        <f ca="1">SUMIF(Top!$W$5:$W$168,$B88,Top!AK$5:AK$167)+SUMIF(Mid!$W$5:$W$168,$B88,Mid!AK$5:AK$167)</f>
        <v>0</v>
      </c>
      <c r="Q88">
        <f t="shared" ca="1" si="2"/>
        <v>0</v>
      </c>
      <c r="R88" s="17">
        <f t="shared" ca="1" si="3"/>
        <v>0</v>
      </c>
    </row>
    <row r="89" spans="2:18" x14ac:dyDescent="0.25">
      <c r="B89" t="s">
        <v>80</v>
      </c>
      <c r="C89">
        <f ca="1">SUMIF(Top!$W$5:$W$168,$B89,Top!X$5:X$167)+SUMIF(Mid!$W$5:$W$168,$B89,Mid!X$5:X$167)</f>
        <v>0</v>
      </c>
      <c r="D89">
        <f ca="1">SUMIF(Top!$W$5:$W$168,$B89,Top!Y$5:Y$167)+SUMIF(Mid!$W$5:$W$168,$B89,Mid!Y$5:Y$167)</f>
        <v>0</v>
      </c>
      <c r="E89">
        <f ca="1">SUMIF(Top!$W$5:$W$168,$B89,Top!Z$5:Z$167)+SUMIF(Mid!$W$5:$W$168,$B89,Mid!Z$5:Z$167)</f>
        <v>0</v>
      </c>
      <c r="F89">
        <f ca="1">SUMIF(Top!$W$5:$W$168,$B89,Top!AA$5:AA$167)+SUMIF(Mid!$W$5:$W$168,$B89,Mid!AA$5:AA$167)</f>
        <v>0</v>
      </c>
      <c r="G89">
        <f ca="1">SUMIF(Top!$W$5:$W$168,$B89,Top!AB$5:AB$167)+SUMIF(Mid!$W$5:$W$168,$B89,Mid!AB$5:AB$167)</f>
        <v>0</v>
      </c>
      <c r="H89">
        <f ca="1">SUMIF(Top!$W$5:$W$168,$B89,Top!AC$5:AC$167)+SUMIF(Mid!$W$5:$W$168,$B89,Mid!AC$5:AC$167)</f>
        <v>0</v>
      </c>
      <c r="I89">
        <f ca="1">SUMIF(Top!$W$5:$W$168,$B89,Top!AD$5:AD$167)+SUMIF(Mid!$W$5:$W$168,$B89,Mid!AD$5:AD$167)</f>
        <v>0</v>
      </c>
      <c r="J89">
        <f ca="1">SUMIF(Top!$W$5:$W$168,$B89,Top!AE$5:AE$167)+SUMIF(Mid!$W$5:$W$168,$B89,Mid!AE$5:AE$167)</f>
        <v>0</v>
      </c>
      <c r="K89">
        <f ca="1">SUMIF(Top!$W$5:$W$168,$B89,Top!AF$5:AF$167)+SUMIF(Mid!$W$5:$W$168,$B89,Mid!AF$5:AF$167)</f>
        <v>0</v>
      </c>
      <c r="L89">
        <f ca="1">SUMIF(Top!$W$5:$W$168,$B89,Top!AG$5:AG$167)+SUMIF(Mid!$W$5:$W$168,$B89,Mid!AG$5:AG$167)</f>
        <v>0</v>
      </c>
      <c r="M89">
        <f ca="1">SUMIF(Top!$W$5:$W$168,$B89,Top!AH$5:AH$167)+SUMIF(Mid!$W$5:$W$168,$B89,Mid!AH$5:AH$167)</f>
        <v>0</v>
      </c>
      <c r="N89">
        <f ca="1">SUMIF(Top!$W$5:$W$168,$B89,Top!AI$5:AI$167)+SUMIF(Mid!$W$5:$W$168,$B89,Mid!AI$5:AI$167)</f>
        <v>0</v>
      </c>
      <c r="O89">
        <f ca="1">SUMIF(Top!$W$5:$W$168,$B89,Top!AJ$5:AJ$167)+SUMIF(Mid!$W$5:$W$168,$B89,Mid!AJ$5:AJ$167)</f>
        <v>0</v>
      </c>
      <c r="P89">
        <f ca="1">SUMIF(Top!$W$5:$W$168,$B89,Top!AK$5:AK$167)+SUMIF(Mid!$W$5:$W$168,$B89,Mid!AK$5:AK$167)</f>
        <v>0</v>
      </c>
      <c r="Q89">
        <f t="shared" ca="1" si="2"/>
        <v>0</v>
      </c>
      <c r="R89" s="17">
        <f t="shared" ca="1" si="3"/>
        <v>0</v>
      </c>
    </row>
    <row r="90" spans="2:18" x14ac:dyDescent="0.25">
      <c r="B90" t="s">
        <v>81</v>
      </c>
      <c r="C90">
        <f ca="1">SUMIF(Top!$W$5:$W$168,$B90,Top!X$5:X$167)+SUMIF(Mid!$W$5:$W$168,$B90,Mid!X$5:X$167)</f>
        <v>0</v>
      </c>
      <c r="D90">
        <f ca="1">SUMIF(Top!$W$5:$W$168,$B90,Top!Y$5:Y$167)+SUMIF(Mid!$W$5:$W$168,$B90,Mid!Y$5:Y$167)</f>
        <v>0</v>
      </c>
      <c r="E90">
        <f ca="1">SUMIF(Top!$W$5:$W$168,$B90,Top!Z$5:Z$167)+SUMIF(Mid!$W$5:$W$168,$B90,Mid!Z$5:Z$167)</f>
        <v>0</v>
      </c>
      <c r="F90">
        <f ca="1">SUMIF(Top!$W$5:$W$168,$B90,Top!AA$5:AA$167)+SUMIF(Mid!$W$5:$W$168,$B90,Mid!AA$5:AA$167)</f>
        <v>0</v>
      </c>
      <c r="G90">
        <f ca="1">SUMIF(Top!$W$5:$W$168,$B90,Top!AB$5:AB$167)+SUMIF(Mid!$W$5:$W$168,$B90,Mid!AB$5:AB$167)</f>
        <v>0</v>
      </c>
      <c r="H90">
        <f ca="1">SUMIF(Top!$W$5:$W$168,$B90,Top!AC$5:AC$167)+SUMIF(Mid!$W$5:$W$168,$B90,Mid!AC$5:AC$167)</f>
        <v>0</v>
      </c>
      <c r="I90">
        <f ca="1">SUMIF(Top!$W$5:$W$168,$B90,Top!AD$5:AD$167)+SUMIF(Mid!$W$5:$W$168,$B90,Mid!AD$5:AD$167)</f>
        <v>0</v>
      </c>
      <c r="J90">
        <f ca="1">SUMIF(Top!$W$5:$W$168,$B90,Top!AE$5:AE$167)+SUMIF(Mid!$W$5:$W$168,$B90,Mid!AE$5:AE$167)</f>
        <v>0</v>
      </c>
      <c r="K90">
        <f ca="1">SUMIF(Top!$W$5:$W$168,$B90,Top!AF$5:AF$167)+SUMIF(Mid!$W$5:$W$168,$B90,Mid!AF$5:AF$167)</f>
        <v>0</v>
      </c>
      <c r="L90">
        <f ca="1">SUMIF(Top!$W$5:$W$168,$B90,Top!AG$5:AG$167)+SUMIF(Mid!$W$5:$W$168,$B90,Mid!AG$5:AG$167)</f>
        <v>0</v>
      </c>
      <c r="M90">
        <f ca="1">SUMIF(Top!$W$5:$W$168,$B90,Top!AH$5:AH$167)+SUMIF(Mid!$W$5:$W$168,$B90,Mid!AH$5:AH$167)</f>
        <v>0</v>
      </c>
      <c r="N90">
        <f ca="1">SUMIF(Top!$W$5:$W$168,$B90,Top!AI$5:AI$167)+SUMIF(Mid!$W$5:$W$168,$B90,Mid!AI$5:AI$167)</f>
        <v>0</v>
      </c>
      <c r="O90">
        <f ca="1">SUMIF(Top!$W$5:$W$168,$B90,Top!AJ$5:AJ$167)+SUMIF(Mid!$W$5:$W$168,$B90,Mid!AJ$5:AJ$167)</f>
        <v>0</v>
      </c>
      <c r="P90">
        <f ca="1">SUMIF(Top!$W$5:$W$168,$B90,Top!AK$5:AK$167)+SUMIF(Mid!$W$5:$W$168,$B90,Mid!AK$5:AK$167)</f>
        <v>0</v>
      </c>
      <c r="Q90">
        <f t="shared" ca="1" si="2"/>
        <v>0</v>
      </c>
      <c r="R90" s="17">
        <f t="shared" ca="1" si="3"/>
        <v>0</v>
      </c>
    </row>
    <row r="91" spans="2:18" x14ac:dyDescent="0.25">
      <c r="B91" t="s">
        <v>82</v>
      </c>
      <c r="C91">
        <f ca="1">SUMIF(Top!$W$5:$W$168,$B91,Top!X$5:X$167)+SUMIF(Mid!$W$5:$W$168,$B91,Mid!X$5:X$167)</f>
        <v>0</v>
      </c>
      <c r="D91">
        <f ca="1">SUMIF(Top!$W$5:$W$168,$B91,Top!Y$5:Y$167)+SUMIF(Mid!$W$5:$W$168,$B91,Mid!Y$5:Y$167)</f>
        <v>0</v>
      </c>
      <c r="E91">
        <f ca="1">SUMIF(Top!$W$5:$W$168,$B91,Top!Z$5:Z$167)+SUMIF(Mid!$W$5:$W$168,$B91,Mid!Z$5:Z$167)</f>
        <v>0</v>
      </c>
      <c r="F91">
        <f ca="1">SUMIF(Top!$W$5:$W$168,$B91,Top!AA$5:AA$167)+SUMIF(Mid!$W$5:$W$168,$B91,Mid!AA$5:AA$167)</f>
        <v>0</v>
      </c>
      <c r="G91">
        <f ca="1">SUMIF(Top!$W$5:$W$168,$B91,Top!AB$5:AB$167)+SUMIF(Mid!$W$5:$W$168,$B91,Mid!AB$5:AB$167)</f>
        <v>0</v>
      </c>
      <c r="H91">
        <f ca="1">SUMIF(Top!$W$5:$W$168,$B91,Top!AC$5:AC$167)+SUMIF(Mid!$W$5:$W$168,$B91,Mid!AC$5:AC$167)</f>
        <v>0</v>
      </c>
      <c r="I91">
        <f ca="1">SUMIF(Top!$W$5:$W$168,$B91,Top!AD$5:AD$167)+SUMIF(Mid!$W$5:$W$168,$B91,Mid!AD$5:AD$167)</f>
        <v>0</v>
      </c>
      <c r="J91">
        <f ca="1">SUMIF(Top!$W$5:$W$168,$B91,Top!AE$5:AE$167)+SUMIF(Mid!$W$5:$W$168,$B91,Mid!AE$5:AE$167)</f>
        <v>0</v>
      </c>
      <c r="K91">
        <f ca="1">SUMIF(Top!$W$5:$W$168,$B91,Top!AF$5:AF$167)+SUMIF(Mid!$W$5:$W$168,$B91,Mid!AF$5:AF$167)</f>
        <v>0</v>
      </c>
      <c r="L91">
        <f ca="1">SUMIF(Top!$W$5:$W$168,$B91,Top!AG$5:AG$167)+SUMIF(Mid!$W$5:$W$168,$B91,Mid!AG$5:AG$167)</f>
        <v>0</v>
      </c>
      <c r="M91">
        <f ca="1">SUMIF(Top!$W$5:$W$168,$B91,Top!AH$5:AH$167)+SUMIF(Mid!$W$5:$W$168,$B91,Mid!AH$5:AH$167)</f>
        <v>0</v>
      </c>
      <c r="N91">
        <f ca="1">SUMIF(Top!$W$5:$W$168,$B91,Top!AI$5:AI$167)+SUMIF(Mid!$W$5:$W$168,$B91,Mid!AI$5:AI$167)</f>
        <v>0</v>
      </c>
      <c r="O91">
        <f ca="1">SUMIF(Top!$W$5:$W$168,$B91,Top!AJ$5:AJ$167)+SUMIF(Mid!$W$5:$W$168,$B91,Mid!AJ$5:AJ$167)</f>
        <v>0</v>
      </c>
      <c r="P91">
        <f ca="1">SUMIF(Top!$W$5:$W$168,$B91,Top!AK$5:AK$167)+SUMIF(Mid!$W$5:$W$168,$B91,Mid!AK$5:AK$167)</f>
        <v>0</v>
      </c>
      <c r="Q91">
        <f t="shared" ca="1" si="2"/>
        <v>0</v>
      </c>
      <c r="R91" s="17">
        <f t="shared" ca="1" si="3"/>
        <v>0</v>
      </c>
    </row>
    <row r="92" spans="2:18" x14ac:dyDescent="0.25">
      <c r="B92" t="s">
        <v>83</v>
      </c>
      <c r="C92">
        <f ca="1">SUMIF(Top!$W$5:$W$168,$B92,Top!X$5:X$167)+SUMIF(Mid!$W$5:$W$168,$B92,Mid!X$5:X$167)</f>
        <v>5</v>
      </c>
      <c r="D92">
        <f ca="1">SUMIF(Top!$W$5:$W$168,$B92,Top!Y$5:Y$167)+SUMIF(Mid!$W$5:$W$168,$B92,Mid!Y$5:Y$167)</f>
        <v>0</v>
      </c>
      <c r="E92">
        <f ca="1">SUMIF(Top!$W$5:$W$168,$B92,Top!Z$5:Z$167)+SUMIF(Mid!$W$5:$W$168,$B92,Mid!Z$5:Z$167)</f>
        <v>0</v>
      </c>
      <c r="F92">
        <f ca="1">SUMIF(Top!$W$5:$W$168,$B92,Top!AA$5:AA$167)+SUMIF(Mid!$W$5:$W$168,$B92,Mid!AA$5:AA$167)</f>
        <v>0</v>
      </c>
      <c r="G92">
        <f ca="1">SUMIF(Top!$W$5:$W$168,$B92,Top!AB$5:AB$167)+SUMIF(Mid!$W$5:$W$168,$B92,Mid!AB$5:AB$167)</f>
        <v>0</v>
      </c>
      <c r="H92">
        <f ca="1">SUMIF(Top!$W$5:$W$168,$B92,Top!AC$5:AC$167)+SUMIF(Mid!$W$5:$W$168,$B92,Mid!AC$5:AC$167)</f>
        <v>0</v>
      </c>
      <c r="I92">
        <f ca="1">SUMIF(Top!$W$5:$W$168,$B92,Top!AD$5:AD$167)+SUMIF(Mid!$W$5:$W$168,$B92,Mid!AD$5:AD$167)</f>
        <v>0</v>
      </c>
      <c r="J92">
        <f ca="1">SUMIF(Top!$W$5:$W$168,$B92,Top!AE$5:AE$167)+SUMIF(Mid!$W$5:$W$168,$B92,Mid!AE$5:AE$167)</f>
        <v>0</v>
      </c>
      <c r="K92">
        <f ca="1">SUMIF(Top!$W$5:$W$168,$B92,Top!AF$5:AF$167)+SUMIF(Mid!$W$5:$W$168,$B92,Mid!AF$5:AF$167)</f>
        <v>0</v>
      </c>
      <c r="L92">
        <f ca="1">SUMIF(Top!$W$5:$W$168,$B92,Top!AG$5:AG$167)+SUMIF(Mid!$W$5:$W$168,$B92,Mid!AG$5:AG$167)</f>
        <v>0</v>
      </c>
      <c r="M92">
        <f ca="1">SUMIF(Top!$W$5:$W$168,$B92,Top!AH$5:AH$167)+SUMIF(Mid!$W$5:$W$168,$B92,Mid!AH$5:AH$167)</f>
        <v>0</v>
      </c>
      <c r="N92">
        <f ca="1">SUMIF(Top!$W$5:$W$168,$B92,Top!AI$5:AI$167)+SUMIF(Mid!$W$5:$W$168,$B92,Mid!AI$5:AI$167)</f>
        <v>0</v>
      </c>
      <c r="O92">
        <f ca="1">SUMIF(Top!$W$5:$W$168,$B92,Top!AJ$5:AJ$167)+SUMIF(Mid!$W$5:$W$168,$B92,Mid!AJ$5:AJ$167)</f>
        <v>0</v>
      </c>
      <c r="P92">
        <f ca="1">SUMIF(Top!$W$5:$W$168,$B92,Top!AK$5:AK$167)+SUMIF(Mid!$W$5:$W$168,$B92,Mid!AK$5:AK$167)</f>
        <v>0</v>
      </c>
      <c r="Q92">
        <f t="shared" ca="1" si="2"/>
        <v>5</v>
      </c>
      <c r="R92" s="17">
        <f t="shared" ca="1" si="3"/>
        <v>5</v>
      </c>
    </row>
    <row r="93" spans="2:18" x14ac:dyDescent="0.25">
      <c r="B93" t="s">
        <v>85</v>
      </c>
      <c r="C93">
        <f ca="1">SUMIF(Top!$W$5:$W$168,$B93,Top!X$5:X$167)+SUMIF(Mid!$W$5:$W$168,$B93,Mid!X$5:X$167)</f>
        <v>0</v>
      </c>
      <c r="D93">
        <f ca="1">SUMIF(Top!$W$5:$W$168,$B93,Top!Y$5:Y$167)+SUMIF(Mid!$W$5:$W$168,$B93,Mid!Y$5:Y$167)</f>
        <v>0</v>
      </c>
      <c r="E93">
        <f ca="1">SUMIF(Top!$W$5:$W$168,$B93,Top!Z$5:Z$167)+SUMIF(Mid!$W$5:$W$168,$B93,Mid!Z$5:Z$167)</f>
        <v>0</v>
      </c>
      <c r="F93">
        <f ca="1">SUMIF(Top!$W$5:$W$168,$B93,Top!AA$5:AA$167)+SUMIF(Mid!$W$5:$W$168,$B93,Mid!AA$5:AA$167)</f>
        <v>0</v>
      </c>
      <c r="G93">
        <f ca="1">SUMIF(Top!$W$5:$W$168,$B93,Top!AB$5:AB$167)+SUMIF(Mid!$W$5:$W$168,$B93,Mid!AB$5:AB$167)</f>
        <v>0</v>
      </c>
      <c r="H93">
        <f ca="1">SUMIF(Top!$W$5:$W$168,$B93,Top!AC$5:AC$167)+SUMIF(Mid!$W$5:$W$168,$B93,Mid!AC$5:AC$167)</f>
        <v>0</v>
      </c>
      <c r="I93">
        <f ca="1">SUMIF(Top!$W$5:$W$168,$B93,Top!AD$5:AD$167)+SUMIF(Mid!$W$5:$W$168,$B93,Mid!AD$5:AD$167)</f>
        <v>0</v>
      </c>
      <c r="J93">
        <f ca="1">SUMIF(Top!$W$5:$W$168,$B93,Top!AE$5:AE$167)+SUMIF(Mid!$W$5:$W$168,$B93,Mid!AE$5:AE$167)</f>
        <v>0</v>
      </c>
      <c r="K93">
        <f ca="1">SUMIF(Top!$W$5:$W$168,$B93,Top!AF$5:AF$167)+SUMIF(Mid!$W$5:$W$168,$B93,Mid!AF$5:AF$167)</f>
        <v>0</v>
      </c>
      <c r="L93">
        <f ca="1">SUMIF(Top!$W$5:$W$168,$B93,Top!AG$5:AG$167)+SUMIF(Mid!$W$5:$W$168,$B93,Mid!AG$5:AG$167)</f>
        <v>0</v>
      </c>
      <c r="M93">
        <f ca="1">SUMIF(Top!$W$5:$W$168,$B93,Top!AH$5:AH$167)+SUMIF(Mid!$W$5:$W$168,$B93,Mid!AH$5:AH$167)</f>
        <v>0</v>
      </c>
      <c r="N93">
        <f ca="1">SUMIF(Top!$W$5:$W$168,$B93,Top!AI$5:AI$167)+SUMIF(Mid!$W$5:$W$168,$B93,Mid!AI$5:AI$167)</f>
        <v>0</v>
      </c>
      <c r="O93">
        <f ca="1">SUMIF(Top!$W$5:$W$168,$B93,Top!AJ$5:AJ$167)+SUMIF(Mid!$W$5:$W$168,$B93,Mid!AJ$5:AJ$167)</f>
        <v>0</v>
      </c>
      <c r="P93">
        <f ca="1">SUMIF(Top!$W$5:$W$168,$B93,Top!AK$5:AK$167)+SUMIF(Mid!$W$5:$W$168,$B93,Mid!AK$5:AK$167)</f>
        <v>0</v>
      </c>
      <c r="Q93">
        <f t="shared" ca="1" si="2"/>
        <v>0</v>
      </c>
      <c r="R93" s="17">
        <f t="shared" ca="1" si="3"/>
        <v>0</v>
      </c>
    </row>
    <row r="94" spans="2:18" x14ac:dyDescent="0.25">
      <c r="B94" t="s">
        <v>86</v>
      </c>
      <c r="C94">
        <f ca="1">SUMIF(Top!$W$5:$W$168,$B94,Top!X$5:X$167)+SUMIF(Mid!$W$5:$W$168,$B94,Mid!X$5:X$167)</f>
        <v>0</v>
      </c>
      <c r="D94">
        <f ca="1">SUMIF(Top!$W$5:$W$168,$B94,Top!Y$5:Y$167)+SUMIF(Mid!$W$5:$W$168,$B94,Mid!Y$5:Y$167)</f>
        <v>0</v>
      </c>
      <c r="E94">
        <f ca="1">SUMIF(Top!$W$5:$W$168,$B94,Top!Z$5:Z$167)+SUMIF(Mid!$W$5:$W$168,$B94,Mid!Z$5:Z$167)</f>
        <v>0</v>
      </c>
      <c r="F94">
        <f ca="1">SUMIF(Top!$W$5:$W$168,$B94,Top!AA$5:AA$167)+SUMIF(Mid!$W$5:$W$168,$B94,Mid!AA$5:AA$167)</f>
        <v>0</v>
      </c>
      <c r="G94">
        <f ca="1">SUMIF(Top!$W$5:$W$168,$B94,Top!AB$5:AB$167)+SUMIF(Mid!$W$5:$W$168,$B94,Mid!AB$5:AB$167)</f>
        <v>0</v>
      </c>
      <c r="H94">
        <f ca="1">SUMIF(Top!$W$5:$W$168,$B94,Top!AC$5:AC$167)+SUMIF(Mid!$W$5:$W$168,$B94,Mid!AC$5:AC$167)</f>
        <v>0</v>
      </c>
      <c r="I94">
        <f ca="1">SUMIF(Top!$W$5:$W$168,$B94,Top!AD$5:AD$167)+SUMIF(Mid!$W$5:$W$168,$B94,Mid!AD$5:AD$167)</f>
        <v>0</v>
      </c>
      <c r="J94">
        <f ca="1">SUMIF(Top!$W$5:$W$168,$B94,Top!AE$5:AE$167)+SUMIF(Mid!$W$5:$W$168,$B94,Mid!AE$5:AE$167)</f>
        <v>0</v>
      </c>
      <c r="K94">
        <f ca="1">SUMIF(Top!$W$5:$W$168,$B94,Top!AF$5:AF$167)+SUMIF(Mid!$W$5:$W$168,$B94,Mid!AF$5:AF$167)</f>
        <v>0</v>
      </c>
      <c r="L94">
        <f ca="1">SUMIF(Top!$W$5:$W$168,$B94,Top!AG$5:AG$167)+SUMIF(Mid!$W$5:$W$168,$B94,Mid!AG$5:AG$167)</f>
        <v>0</v>
      </c>
      <c r="M94">
        <f ca="1">SUMIF(Top!$W$5:$W$168,$B94,Top!AH$5:AH$167)+SUMIF(Mid!$W$5:$W$168,$B94,Mid!AH$5:AH$167)</f>
        <v>0</v>
      </c>
      <c r="N94">
        <f ca="1">SUMIF(Top!$W$5:$W$168,$B94,Top!AI$5:AI$167)+SUMIF(Mid!$W$5:$W$168,$B94,Mid!AI$5:AI$167)</f>
        <v>0</v>
      </c>
      <c r="O94">
        <f ca="1">SUMIF(Top!$W$5:$W$168,$B94,Top!AJ$5:AJ$167)+SUMIF(Mid!$W$5:$W$168,$B94,Mid!AJ$5:AJ$167)</f>
        <v>0</v>
      </c>
      <c r="P94">
        <f ca="1">SUMIF(Top!$W$5:$W$168,$B94,Top!AK$5:AK$167)+SUMIF(Mid!$W$5:$W$168,$B94,Mid!AK$5:AK$167)</f>
        <v>0</v>
      </c>
      <c r="Q94">
        <f t="shared" ca="1" si="2"/>
        <v>0</v>
      </c>
      <c r="R94" s="17">
        <f t="shared" ca="1" si="3"/>
        <v>0</v>
      </c>
    </row>
    <row r="95" spans="2:18" x14ac:dyDescent="0.25">
      <c r="B95" t="s">
        <v>87</v>
      </c>
      <c r="C95">
        <f ca="1">SUMIF(Top!$W$5:$W$168,$B95,Top!X$5:X$167)+SUMIF(Mid!$W$5:$W$168,$B95,Mid!X$5:X$167)</f>
        <v>0</v>
      </c>
      <c r="D95">
        <f ca="1">SUMIF(Top!$W$5:$W$168,$B95,Top!Y$5:Y$167)+SUMIF(Mid!$W$5:$W$168,$B95,Mid!Y$5:Y$167)</f>
        <v>0</v>
      </c>
      <c r="E95">
        <f ca="1">SUMIF(Top!$W$5:$W$168,$B95,Top!Z$5:Z$167)+SUMIF(Mid!$W$5:$W$168,$B95,Mid!Z$5:Z$167)</f>
        <v>0</v>
      </c>
      <c r="F95">
        <f ca="1">SUMIF(Top!$W$5:$W$168,$B95,Top!AA$5:AA$167)+SUMIF(Mid!$W$5:$W$168,$B95,Mid!AA$5:AA$167)</f>
        <v>0</v>
      </c>
      <c r="G95">
        <f ca="1">SUMIF(Top!$W$5:$W$168,$B95,Top!AB$5:AB$167)+SUMIF(Mid!$W$5:$W$168,$B95,Mid!AB$5:AB$167)</f>
        <v>0</v>
      </c>
      <c r="H95">
        <f ca="1">SUMIF(Top!$W$5:$W$168,$B95,Top!AC$5:AC$167)+SUMIF(Mid!$W$5:$W$168,$B95,Mid!AC$5:AC$167)</f>
        <v>0</v>
      </c>
      <c r="I95">
        <f ca="1">SUMIF(Top!$W$5:$W$168,$B95,Top!AD$5:AD$167)+SUMIF(Mid!$W$5:$W$168,$B95,Mid!AD$5:AD$167)</f>
        <v>0</v>
      </c>
      <c r="J95">
        <f ca="1">SUMIF(Top!$W$5:$W$168,$B95,Top!AE$5:AE$167)+SUMIF(Mid!$W$5:$W$168,$B95,Mid!AE$5:AE$167)</f>
        <v>0</v>
      </c>
      <c r="K95">
        <f ca="1">SUMIF(Top!$W$5:$W$168,$B95,Top!AF$5:AF$167)+SUMIF(Mid!$W$5:$W$168,$B95,Mid!AF$5:AF$167)</f>
        <v>0</v>
      </c>
      <c r="L95">
        <f ca="1">SUMIF(Top!$W$5:$W$168,$B95,Top!AG$5:AG$167)+SUMIF(Mid!$W$5:$W$168,$B95,Mid!AG$5:AG$167)</f>
        <v>0</v>
      </c>
      <c r="M95">
        <f ca="1">SUMIF(Top!$W$5:$W$168,$B95,Top!AH$5:AH$167)+SUMIF(Mid!$W$5:$W$168,$B95,Mid!AH$5:AH$167)</f>
        <v>0</v>
      </c>
      <c r="N95">
        <f ca="1">SUMIF(Top!$W$5:$W$168,$B95,Top!AI$5:AI$167)+SUMIF(Mid!$W$5:$W$168,$B95,Mid!AI$5:AI$167)</f>
        <v>0</v>
      </c>
      <c r="O95">
        <f ca="1">SUMIF(Top!$W$5:$W$168,$B95,Top!AJ$5:AJ$167)+SUMIF(Mid!$W$5:$W$168,$B95,Mid!AJ$5:AJ$167)</f>
        <v>0</v>
      </c>
      <c r="P95">
        <f ca="1">SUMIF(Top!$W$5:$W$168,$B95,Top!AK$5:AK$167)+SUMIF(Mid!$W$5:$W$168,$B95,Mid!AK$5:AK$167)</f>
        <v>0</v>
      </c>
      <c r="Q95">
        <f t="shared" ca="1" si="2"/>
        <v>0</v>
      </c>
      <c r="R95" s="17">
        <f t="shared" ca="1" si="3"/>
        <v>0</v>
      </c>
    </row>
    <row r="96" spans="2:18" x14ac:dyDescent="0.25">
      <c r="B96" t="s">
        <v>88</v>
      </c>
      <c r="C96">
        <f ca="1">SUMIF(Top!$W$5:$W$168,$B96,Top!X$5:X$167)+SUMIF(Mid!$W$5:$W$168,$B96,Mid!X$5:X$167)</f>
        <v>0</v>
      </c>
      <c r="D96">
        <f ca="1">SUMIF(Top!$W$5:$W$168,$B96,Top!Y$5:Y$167)+SUMIF(Mid!$W$5:$W$168,$B96,Mid!Y$5:Y$167)</f>
        <v>0</v>
      </c>
      <c r="E96">
        <f ca="1">SUMIF(Top!$W$5:$W$168,$B96,Top!Z$5:Z$167)+SUMIF(Mid!$W$5:$W$168,$B96,Mid!Z$5:Z$167)</f>
        <v>0</v>
      </c>
      <c r="F96">
        <f ca="1">SUMIF(Top!$W$5:$W$168,$B96,Top!AA$5:AA$167)+SUMIF(Mid!$W$5:$W$168,$B96,Mid!AA$5:AA$167)</f>
        <v>0</v>
      </c>
      <c r="G96">
        <f ca="1">SUMIF(Top!$W$5:$W$168,$B96,Top!AB$5:AB$167)+SUMIF(Mid!$W$5:$W$168,$B96,Mid!AB$5:AB$167)</f>
        <v>0</v>
      </c>
      <c r="H96">
        <f ca="1">SUMIF(Top!$W$5:$W$168,$B96,Top!AC$5:AC$167)+SUMIF(Mid!$W$5:$W$168,$B96,Mid!AC$5:AC$167)</f>
        <v>0</v>
      </c>
      <c r="I96">
        <f ca="1">SUMIF(Top!$W$5:$W$168,$B96,Top!AD$5:AD$167)+SUMIF(Mid!$W$5:$W$168,$B96,Mid!AD$5:AD$167)</f>
        <v>0</v>
      </c>
      <c r="J96">
        <f ca="1">SUMIF(Top!$W$5:$W$168,$B96,Top!AE$5:AE$167)+SUMIF(Mid!$W$5:$W$168,$B96,Mid!AE$5:AE$167)</f>
        <v>0</v>
      </c>
      <c r="K96">
        <f ca="1">SUMIF(Top!$W$5:$W$168,$B96,Top!AF$5:AF$167)+SUMIF(Mid!$W$5:$W$168,$B96,Mid!AF$5:AF$167)</f>
        <v>0</v>
      </c>
      <c r="L96">
        <f ca="1">SUMIF(Top!$W$5:$W$168,$B96,Top!AG$5:AG$167)+SUMIF(Mid!$W$5:$W$168,$B96,Mid!AG$5:AG$167)</f>
        <v>0</v>
      </c>
      <c r="M96">
        <f ca="1">SUMIF(Top!$W$5:$W$168,$B96,Top!AH$5:AH$167)+SUMIF(Mid!$W$5:$W$168,$B96,Mid!AH$5:AH$167)</f>
        <v>0</v>
      </c>
      <c r="N96">
        <f ca="1">SUMIF(Top!$W$5:$W$168,$B96,Top!AI$5:AI$167)+SUMIF(Mid!$W$5:$W$168,$B96,Mid!AI$5:AI$167)</f>
        <v>0</v>
      </c>
      <c r="O96">
        <f ca="1">SUMIF(Top!$W$5:$W$168,$B96,Top!AJ$5:AJ$167)+SUMIF(Mid!$W$5:$W$168,$B96,Mid!AJ$5:AJ$167)</f>
        <v>0</v>
      </c>
      <c r="P96">
        <f ca="1">SUMIF(Top!$W$5:$W$168,$B96,Top!AK$5:AK$167)+SUMIF(Mid!$W$5:$W$168,$B96,Mid!AK$5:AK$167)</f>
        <v>0</v>
      </c>
      <c r="Q96">
        <f t="shared" ca="1" si="2"/>
        <v>0</v>
      </c>
      <c r="R96" s="17">
        <f t="shared" ca="1" si="3"/>
        <v>0</v>
      </c>
    </row>
    <row r="97" spans="2:18" x14ac:dyDescent="0.25">
      <c r="B97" t="s">
        <v>89</v>
      </c>
      <c r="C97">
        <f ca="1">SUMIF(Top!$W$5:$W$168,$B97,Top!X$5:X$167)+SUMIF(Mid!$W$5:$W$168,$B97,Mid!X$5:X$167)</f>
        <v>0</v>
      </c>
      <c r="D97">
        <f ca="1">SUMIF(Top!$W$5:$W$168,$B97,Top!Y$5:Y$167)+SUMIF(Mid!$W$5:$W$168,$B97,Mid!Y$5:Y$167)</f>
        <v>0</v>
      </c>
      <c r="E97">
        <f ca="1">SUMIF(Top!$W$5:$W$168,$B97,Top!Z$5:Z$167)+SUMIF(Mid!$W$5:$W$168,$B97,Mid!Z$5:Z$167)</f>
        <v>0</v>
      </c>
      <c r="F97">
        <f ca="1">SUMIF(Top!$W$5:$W$168,$B97,Top!AA$5:AA$167)+SUMIF(Mid!$W$5:$W$168,$B97,Mid!AA$5:AA$167)</f>
        <v>0</v>
      </c>
      <c r="G97">
        <f ca="1">SUMIF(Top!$W$5:$W$168,$B97,Top!AB$5:AB$167)+SUMIF(Mid!$W$5:$W$168,$B97,Mid!AB$5:AB$167)</f>
        <v>0</v>
      </c>
      <c r="H97">
        <f ca="1">SUMIF(Top!$W$5:$W$168,$B97,Top!AC$5:AC$167)+SUMIF(Mid!$W$5:$W$168,$B97,Mid!AC$5:AC$167)</f>
        <v>0</v>
      </c>
      <c r="I97">
        <f ca="1">SUMIF(Top!$W$5:$W$168,$B97,Top!AD$5:AD$167)+SUMIF(Mid!$W$5:$W$168,$B97,Mid!AD$5:AD$167)</f>
        <v>0</v>
      </c>
      <c r="J97">
        <f ca="1">SUMIF(Top!$W$5:$W$168,$B97,Top!AE$5:AE$167)+SUMIF(Mid!$W$5:$W$168,$B97,Mid!AE$5:AE$167)</f>
        <v>0</v>
      </c>
      <c r="K97">
        <f ca="1">SUMIF(Top!$W$5:$W$168,$B97,Top!AF$5:AF$167)+SUMIF(Mid!$W$5:$W$168,$B97,Mid!AF$5:AF$167)</f>
        <v>0</v>
      </c>
      <c r="L97">
        <f ca="1">SUMIF(Top!$W$5:$W$168,$B97,Top!AG$5:AG$167)+SUMIF(Mid!$W$5:$W$168,$B97,Mid!AG$5:AG$167)</f>
        <v>0</v>
      </c>
      <c r="M97">
        <f ca="1">SUMIF(Top!$W$5:$W$168,$B97,Top!AH$5:AH$167)+SUMIF(Mid!$W$5:$W$168,$B97,Mid!AH$5:AH$167)</f>
        <v>0</v>
      </c>
      <c r="N97">
        <f ca="1">SUMIF(Top!$W$5:$W$168,$B97,Top!AI$5:AI$167)+SUMIF(Mid!$W$5:$W$168,$B97,Mid!AI$5:AI$167)</f>
        <v>0</v>
      </c>
      <c r="O97">
        <f ca="1">SUMIF(Top!$W$5:$W$168,$B97,Top!AJ$5:AJ$167)+SUMIF(Mid!$W$5:$W$168,$B97,Mid!AJ$5:AJ$167)</f>
        <v>0</v>
      </c>
      <c r="P97">
        <f ca="1">SUMIF(Top!$W$5:$W$168,$B97,Top!AK$5:AK$167)+SUMIF(Mid!$W$5:$W$168,$B97,Mid!AK$5:AK$167)</f>
        <v>0</v>
      </c>
      <c r="Q97">
        <f t="shared" ca="1" si="2"/>
        <v>0</v>
      </c>
      <c r="R97" s="17">
        <f t="shared" ca="1" si="3"/>
        <v>0</v>
      </c>
    </row>
    <row r="98" spans="2:18" x14ac:dyDescent="0.25">
      <c r="B98" t="s">
        <v>91</v>
      </c>
      <c r="C98">
        <f ca="1">SUMIF(Top!$W$5:$W$168,$B98,Top!X$5:X$167)+SUMIF(Mid!$W$5:$W$168,$B98,Mid!X$5:X$167)</f>
        <v>0</v>
      </c>
      <c r="D98">
        <f ca="1">SUMIF(Top!$W$5:$W$168,$B98,Top!Y$5:Y$167)+SUMIF(Mid!$W$5:$W$168,$B98,Mid!Y$5:Y$167)</f>
        <v>5</v>
      </c>
      <c r="E98">
        <f ca="1">SUMIF(Top!$W$5:$W$168,$B98,Top!Z$5:Z$167)+SUMIF(Mid!$W$5:$W$168,$B98,Mid!Z$5:Z$167)</f>
        <v>14</v>
      </c>
      <c r="F98">
        <f ca="1">SUMIF(Top!$W$5:$W$168,$B98,Top!AA$5:AA$167)+SUMIF(Mid!$W$5:$W$168,$B98,Mid!AA$5:AA$167)</f>
        <v>0</v>
      </c>
      <c r="G98">
        <f ca="1">SUMIF(Top!$W$5:$W$168,$B98,Top!AB$5:AB$167)+SUMIF(Mid!$W$5:$W$168,$B98,Mid!AB$5:AB$167)</f>
        <v>0</v>
      </c>
      <c r="H98">
        <f ca="1">SUMIF(Top!$W$5:$W$168,$B98,Top!AC$5:AC$167)+SUMIF(Mid!$W$5:$W$168,$B98,Mid!AC$5:AC$167)</f>
        <v>0</v>
      </c>
      <c r="I98">
        <f ca="1">SUMIF(Top!$W$5:$W$168,$B98,Top!AD$5:AD$167)+SUMIF(Mid!$W$5:$W$168,$B98,Mid!AD$5:AD$167)</f>
        <v>0</v>
      </c>
      <c r="J98">
        <f ca="1">SUMIF(Top!$W$5:$W$168,$B98,Top!AE$5:AE$167)+SUMIF(Mid!$W$5:$W$168,$B98,Mid!AE$5:AE$167)</f>
        <v>0</v>
      </c>
      <c r="K98">
        <f ca="1">SUMIF(Top!$W$5:$W$168,$B98,Top!AF$5:AF$167)+SUMIF(Mid!$W$5:$W$168,$B98,Mid!AF$5:AF$167)</f>
        <v>0</v>
      </c>
      <c r="L98">
        <f ca="1">SUMIF(Top!$W$5:$W$168,$B98,Top!AG$5:AG$167)+SUMIF(Mid!$W$5:$W$168,$B98,Mid!AG$5:AG$167)</f>
        <v>0</v>
      </c>
      <c r="M98">
        <f ca="1">SUMIF(Top!$W$5:$W$168,$B98,Top!AH$5:AH$167)+SUMIF(Mid!$W$5:$W$168,$B98,Mid!AH$5:AH$167)</f>
        <v>0</v>
      </c>
      <c r="N98">
        <f ca="1">SUMIF(Top!$W$5:$W$168,$B98,Top!AI$5:AI$167)+SUMIF(Mid!$W$5:$W$168,$B98,Mid!AI$5:AI$167)</f>
        <v>0</v>
      </c>
      <c r="O98">
        <f ca="1">SUMIF(Top!$W$5:$W$168,$B98,Top!AJ$5:AJ$167)+SUMIF(Mid!$W$5:$W$168,$B98,Mid!AJ$5:AJ$167)</f>
        <v>0</v>
      </c>
      <c r="P98">
        <f ca="1">SUMIF(Top!$W$5:$W$168,$B98,Top!AK$5:AK$167)+SUMIF(Mid!$W$5:$W$168,$B98,Mid!AK$5:AK$167)</f>
        <v>0</v>
      </c>
      <c r="Q98">
        <f t="shared" ca="1" si="2"/>
        <v>19</v>
      </c>
      <c r="R98" s="17">
        <f t="shared" ca="1" si="3"/>
        <v>9.5</v>
      </c>
    </row>
    <row r="99" spans="2:18" x14ac:dyDescent="0.25">
      <c r="B99" t="s">
        <v>92</v>
      </c>
      <c r="C99">
        <f ca="1">SUMIF(Top!$W$5:$W$168,$B99,Top!X$5:X$167)+SUMIF(Mid!$W$5:$W$168,$B99,Mid!X$5:X$167)</f>
        <v>0</v>
      </c>
      <c r="D99">
        <f ca="1">SUMIF(Top!$W$5:$W$168,$B99,Top!Y$5:Y$167)+SUMIF(Mid!$W$5:$W$168,$B99,Mid!Y$5:Y$167)</f>
        <v>0</v>
      </c>
      <c r="E99">
        <f ca="1">SUMIF(Top!$W$5:$W$168,$B99,Top!Z$5:Z$167)+SUMIF(Mid!$W$5:$W$168,$B99,Mid!Z$5:Z$167)</f>
        <v>0</v>
      </c>
      <c r="F99">
        <f ca="1">SUMIF(Top!$W$5:$W$168,$B99,Top!AA$5:AA$167)+SUMIF(Mid!$W$5:$W$168,$B99,Mid!AA$5:AA$167)</f>
        <v>0</v>
      </c>
      <c r="G99">
        <f ca="1">SUMIF(Top!$W$5:$W$168,$B99,Top!AB$5:AB$167)+SUMIF(Mid!$W$5:$W$168,$B99,Mid!AB$5:AB$167)</f>
        <v>0</v>
      </c>
      <c r="H99">
        <f ca="1">SUMIF(Top!$W$5:$W$168,$B99,Top!AC$5:AC$167)+SUMIF(Mid!$W$5:$W$168,$B99,Mid!AC$5:AC$167)</f>
        <v>0</v>
      </c>
      <c r="I99">
        <f ca="1">SUMIF(Top!$W$5:$W$168,$B99,Top!AD$5:AD$167)+SUMIF(Mid!$W$5:$W$168,$B99,Mid!AD$5:AD$167)</f>
        <v>0</v>
      </c>
      <c r="J99">
        <f ca="1">SUMIF(Top!$W$5:$W$168,$B99,Top!AE$5:AE$167)+SUMIF(Mid!$W$5:$W$168,$B99,Mid!AE$5:AE$167)</f>
        <v>0</v>
      </c>
      <c r="K99">
        <f ca="1">SUMIF(Top!$W$5:$W$168,$B99,Top!AF$5:AF$167)+SUMIF(Mid!$W$5:$W$168,$B99,Mid!AF$5:AF$167)</f>
        <v>0</v>
      </c>
      <c r="L99">
        <f ca="1">SUMIF(Top!$W$5:$W$168,$B99,Top!AG$5:AG$167)+SUMIF(Mid!$W$5:$W$168,$B99,Mid!AG$5:AG$167)</f>
        <v>0</v>
      </c>
      <c r="M99">
        <f ca="1">SUMIF(Top!$W$5:$W$168,$B99,Top!AH$5:AH$167)+SUMIF(Mid!$W$5:$W$168,$B99,Mid!AH$5:AH$167)</f>
        <v>0</v>
      </c>
      <c r="N99">
        <f ca="1">SUMIF(Top!$W$5:$W$168,$B99,Top!AI$5:AI$167)+SUMIF(Mid!$W$5:$W$168,$B99,Mid!AI$5:AI$167)</f>
        <v>0</v>
      </c>
      <c r="O99">
        <f ca="1">SUMIF(Top!$W$5:$W$168,$B99,Top!AJ$5:AJ$167)+SUMIF(Mid!$W$5:$W$168,$B99,Mid!AJ$5:AJ$167)</f>
        <v>0</v>
      </c>
      <c r="P99">
        <f ca="1">SUMIF(Top!$W$5:$W$168,$B99,Top!AK$5:AK$167)+SUMIF(Mid!$W$5:$W$168,$B99,Mid!AK$5:AK$167)</f>
        <v>0</v>
      </c>
      <c r="Q99">
        <f t="shared" ca="1" si="2"/>
        <v>0</v>
      </c>
      <c r="R99" s="17">
        <f t="shared" ca="1" si="3"/>
        <v>0</v>
      </c>
    </row>
    <row r="100" spans="2:18" x14ac:dyDescent="0.25">
      <c r="B100" t="s">
        <v>94</v>
      </c>
      <c r="C100">
        <f ca="1">SUMIF(Top!$W$5:$W$168,$B100,Top!X$5:X$167)+SUMIF(Mid!$W$5:$W$168,$B100,Mid!X$5:X$167)</f>
        <v>0</v>
      </c>
      <c r="D100">
        <f ca="1">SUMIF(Top!$W$5:$W$168,$B100,Top!Y$5:Y$167)+SUMIF(Mid!$W$5:$W$168,$B100,Mid!Y$5:Y$167)</f>
        <v>0</v>
      </c>
      <c r="E100">
        <f ca="1">SUMIF(Top!$W$5:$W$168,$B100,Top!Z$5:Z$167)+SUMIF(Mid!$W$5:$W$168,$B100,Mid!Z$5:Z$167)</f>
        <v>0</v>
      </c>
      <c r="F100">
        <f ca="1">SUMIF(Top!$W$5:$W$168,$B100,Top!AA$5:AA$167)+SUMIF(Mid!$W$5:$W$168,$B100,Mid!AA$5:AA$167)</f>
        <v>0</v>
      </c>
      <c r="G100">
        <f ca="1">SUMIF(Top!$W$5:$W$168,$B100,Top!AB$5:AB$167)+SUMIF(Mid!$W$5:$W$168,$B100,Mid!AB$5:AB$167)</f>
        <v>0</v>
      </c>
      <c r="H100">
        <f ca="1">SUMIF(Top!$W$5:$W$168,$B100,Top!AC$5:AC$167)+SUMIF(Mid!$W$5:$W$168,$B100,Mid!AC$5:AC$167)</f>
        <v>0</v>
      </c>
      <c r="I100">
        <f ca="1">SUMIF(Top!$W$5:$W$168,$B100,Top!AD$5:AD$167)+SUMIF(Mid!$W$5:$W$168,$B100,Mid!AD$5:AD$167)</f>
        <v>0</v>
      </c>
      <c r="J100">
        <f ca="1">SUMIF(Top!$W$5:$W$168,$B100,Top!AE$5:AE$167)+SUMIF(Mid!$W$5:$W$168,$B100,Mid!AE$5:AE$167)</f>
        <v>0</v>
      </c>
      <c r="K100">
        <f ca="1">SUMIF(Top!$W$5:$W$168,$B100,Top!AF$5:AF$167)+SUMIF(Mid!$W$5:$W$168,$B100,Mid!AF$5:AF$167)</f>
        <v>0</v>
      </c>
      <c r="L100">
        <f ca="1">SUMIF(Top!$W$5:$W$168,$B100,Top!AG$5:AG$167)+SUMIF(Mid!$W$5:$W$168,$B100,Mid!AG$5:AG$167)</f>
        <v>0</v>
      </c>
      <c r="M100">
        <f ca="1">SUMIF(Top!$W$5:$W$168,$B100,Top!AH$5:AH$167)+SUMIF(Mid!$W$5:$W$168,$B100,Mid!AH$5:AH$167)</f>
        <v>0</v>
      </c>
      <c r="N100">
        <f ca="1">SUMIF(Top!$W$5:$W$168,$B100,Top!AI$5:AI$167)+SUMIF(Mid!$W$5:$W$168,$B100,Mid!AI$5:AI$167)</f>
        <v>0</v>
      </c>
      <c r="O100">
        <f ca="1">SUMIF(Top!$W$5:$W$168,$B100,Top!AJ$5:AJ$167)+SUMIF(Mid!$W$5:$W$168,$B100,Mid!AJ$5:AJ$167)</f>
        <v>0</v>
      </c>
      <c r="P100">
        <f ca="1">SUMIF(Top!$W$5:$W$168,$B100,Top!AK$5:AK$167)+SUMIF(Mid!$W$5:$W$168,$B100,Mid!AK$5:AK$167)</f>
        <v>0</v>
      </c>
      <c r="Q100">
        <f t="shared" ca="1" si="2"/>
        <v>0</v>
      </c>
      <c r="R100" s="17">
        <f t="shared" ca="1" si="3"/>
        <v>0</v>
      </c>
    </row>
    <row r="101" spans="2:18" x14ac:dyDescent="0.25">
      <c r="B101" t="s">
        <v>95</v>
      </c>
      <c r="C101">
        <f ca="1">SUMIF(Top!$W$5:$W$168,$B101,Top!X$5:X$167)+SUMIF(Mid!$W$5:$W$168,$B101,Mid!X$5:X$167)</f>
        <v>3</v>
      </c>
      <c r="D101">
        <f ca="1">SUMIF(Top!$W$5:$W$168,$B101,Top!Y$5:Y$167)+SUMIF(Mid!$W$5:$W$168,$B101,Mid!Y$5:Y$167)</f>
        <v>0</v>
      </c>
      <c r="E101">
        <f ca="1">SUMIF(Top!$W$5:$W$168,$B101,Top!Z$5:Z$167)+SUMIF(Mid!$W$5:$W$168,$B101,Mid!Z$5:Z$167)</f>
        <v>0</v>
      </c>
      <c r="F101">
        <f ca="1">SUMIF(Top!$W$5:$W$168,$B101,Top!AA$5:AA$167)+SUMIF(Mid!$W$5:$W$168,$B101,Mid!AA$5:AA$167)</f>
        <v>0</v>
      </c>
      <c r="G101">
        <f ca="1">SUMIF(Top!$W$5:$W$168,$B101,Top!AB$5:AB$167)+SUMIF(Mid!$W$5:$W$168,$B101,Mid!AB$5:AB$167)</f>
        <v>0</v>
      </c>
      <c r="H101">
        <f ca="1">SUMIF(Top!$W$5:$W$168,$B101,Top!AC$5:AC$167)+SUMIF(Mid!$W$5:$W$168,$B101,Mid!AC$5:AC$167)</f>
        <v>0</v>
      </c>
      <c r="I101">
        <f ca="1">SUMIF(Top!$W$5:$W$168,$B101,Top!AD$5:AD$167)+SUMIF(Mid!$W$5:$W$168,$B101,Mid!AD$5:AD$167)</f>
        <v>0</v>
      </c>
      <c r="J101">
        <f ca="1">SUMIF(Top!$W$5:$W$168,$B101,Top!AE$5:AE$167)+SUMIF(Mid!$W$5:$W$168,$B101,Mid!AE$5:AE$167)</f>
        <v>0</v>
      </c>
      <c r="K101">
        <f ca="1">SUMIF(Top!$W$5:$W$168,$B101,Top!AF$5:AF$167)+SUMIF(Mid!$W$5:$W$168,$B101,Mid!AF$5:AF$167)</f>
        <v>0</v>
      </c>
      <c r="L101">
        <f ca="1">SUMIF(Top!$W$5:$W$168,$B101,Top!AG$5:AG$167)+SUMIF(Mid!$W$5:$W$168,$B101,Mid!AG$5:AG$167)</f>
        <v>0</v>
      </c>
      <c r="M101">
        <f ca="1">SUMIF(Top!$W$5:$W$168,$B101,Top!AH$5:AH$167)+SUMIF(Mid!$W$5:$W$168,$B101,Mid!AH$5:AH$167)</f>
        <v>0</v>
      </c>
      <c r="N101">
        <f ca="1">SUMIF(Top!$W$5:$W$168,$B101,Top!AI$5:AI$167)+SUMIF(Mid!$W$5:$W$168,$B101,Mid!AI$5:AI$167)</f>
        <v>0</v>
      </c>
      <c r="O101">
        <f ca="1">SUMIF(Top!$W$5:$W$168,$B101,Top!AJ$5:AJ$167)+SUMIF(Mid!$W$5:$W$168,$B101,Mid!AJ$5:AJ$167)</f>
        <v>0</v>
      </c>
      <c r="P101">
        <f ca="1">SUMIF(Top!$W$5:$W$168,$B101,Top!AK$5:AK$167)+SUMIF(Mid!$W$5:$W$168,$B101,Mid!AK$5:AK$167)</f>
        <v>0</v>
      </c>
      <c r="Q101">
        <f t="shared" ca="1" si="2"/>
        <v>3</v>
      </c>
      <c r="R101" s="17">
        <f t="shared" ca="1" si="3"/>
        <v>3</v>
      </c>
    </row>
    <row r="102" spans="2:18" x14ac:dyDescent="0.25">
      <c r="B102" t="s">
        <v>96</v>
      </c>
      <c r="C102">
        <f ca="1">SUMIF(Top!$W$5:$W$168,$B102,Top!X$5:X$167)+SUMIF(Mid!$W$5:$W$168,$B102,Mid!X$5:X$167)</f>
        <v>0</v>
      </c>
      <c r="D102">
        <f ca="1">SUMIF(Top!$W$5:$W$168,$B102,Top!Y$5:Y$167)+SUMIF(Mid!$W$5:$W$168,$B102,Mid!Y$5:Y$167)</f>
        <v>0</v>
      </c>
      <c r="E102">
        <f ca="1">SUMIF(Top!$W$5:$W$168,$B102,Top!Z$5:Z$167)+SUMIF(Mid!$W$5:$W$168,$B102,Mid!Z$5:Z$167)</f>
        <v>0</v>
      </c>
      <c r="F102">
        <f ca="1">SUMIF(Top!$W$5:$W$168,$B102,Top!AA$5:AA$167)+SUMIF(Mid!$W$5:$W$168,$B102,Mid!AA$5:AA$167)</f>
        <v>0</v>
      </c>
      <c r="G102">
        <f ca="1">SUMIF(Top!$W$5:$W$168,$B102,Top!AB$5:AB$167)+SUMIF(Mid!$W$5:$W$168,$B102,Mid!AB$5:AB$167)</f>
        <v>0</v>
      </c>
      <c r="H102">
        <f ca="1">SUMIF(Top!$W$5:$W$168,$B102,Top!AC$5:AC$167)+SUMIF(Mid!$W$5:$W$168,$B102,Mid!AC$5:AC$167)</f>
        <v>0</v>
      </c>
      <c r="I102">
        <f ca="1">SUMIF(Top!$W$5:$W$168,$B102,Top!AD$5:AD$167)+SUMIF(Mid!$W$5:$W$168,$B102,Mid!AD$5:AD$167)</f>
        <v>0</v>
      </c>
      <c r="J102">
        <f ca="1">SUMIF(Top!$W$5:$W$168,$B102,Top!AE$5:AE$167)+SUMIF(Mid!$W$5:$W$168,$B102,Mid!AE$5:AE$167)</f>
        <v>0</v>
      </c>
      <c r="K102">
        <f ca="1">SUMIF(Top!$W$5:$W$168,$B102,Top!AF$5:AF$167)+SUMIF(Mid!$W$5:$W$168,$B102,Mid!AF$5:AF$167)</f>
        <v>0</v>
      </c>
      <c r="L102">
        <f ca="1">SUMIF(Top!$W$5:$W$168,$B102,Top!AG$5:AG$167)+SUMIF(Mid!$W$5:$W$168,$B102,Mid!AG$5:AG$167)</f>
        <v>0</v>
      </c>
      <c r="M102">
        <f ca="1">SUMIF(Top!$W$5:$W$168,$B102,Top!AH$5:AH$167)+SUMIF(Mid!$W$5:$W$168,$B102,Mid!AH$5:AH$167)</f>
        <v>0</v>
      </c>
      <c r="N102">
        <f ca="1">SUMIF(Top!$W$5:$W$168,$B102,Top!AI$5:AI$167)+SUMIF(Mid!$W$5:$W$168,$B102,Mid!AI$5:AI$167)</f>
        <v>0</v>
      </c>
      <c r="O102">
        <f ca="1">SUMIF(Top!$W$5:$W$168,$B102,Top!AJ$5:AJ$167)+SUMIF(Mid!$W$5:$W$168,$B102,Mid!AJ$5:AJ$167)</f>
        <v>0</v>
      </c>
      <c r="P102">
        <f ca="1">SUMIF(Top!$W$5:$W$168,$B102,Top!AK$5:AK$167)+SUMIF(Mid!$W$5:$W$168,$B102,Mid!AK$5:AK$167)</f>
        <v>0</v>
      </c>
      <c r="Q102">
        <f t="shared" ca="1" si="2"/>
        <v>0</v>
      </c>
      <c r="R102" s="17">
        <f t="shared" ca="1" si="3"/>
        <v>0</v>
      </c>
    </row>
    <row r="103" spans="2:18" x14ac:dyDescent="0.25">
      <c r="B103" t="s">
        <v>97</v>
      </c>
      <c r="C103">
        <f ca="1">SUMIF(Top!$W$5:$W$168,$B103,Top!X$5:X$167)+SUMIF(Mid!$W$5:$W$168,$B103,Mid!X$5:X$167)</f>
        <v>0</v>
      </c>
      <c r="D103">
        <f ca="1">SUMIF(Top!$W$5:$W$168,$B103,Top!Y$5:Y$167)+SUMIF(Mid!$W$5:$W$168,$B103,Mid!Y$5:Y$167)</f>
        <v>0</v>
      </c>
      <c r="E103">
        <f ca="1">SUMIF(Top!$W$5:$W$168,$B103,Top!Z$5:Z$167)+SUMIF(Mid!$W$5:$W$168,$B103,Mid!Z$5:Z$167)</f>
        <v>0</v>
      </c>
      <c r="F103">
        <f ca="1">SUMIF(Top!$W$5:$W$168,$B103,Top!AA$5:AA$167)+SUMIF(Mid!$W$5:$W$168,$B103,Mid!AA$5:AA$167)</f>
        <v>0</v>
      </c>
      <c r="G103">
        <f ca="1">SUMIF(Top!$W$5:$W$168,$B103,Top!AB$5:AB$167)+SUMIF(Mid!$W$5:$W$168,$B103,Mid!AB$5:AB$167)</f>
        <v>0</v>
      </c>
      <c r="H103">
        <f ca="1">SUMIF(Top!$W$5:$W$168,$B103,Top!AC$5:AC$167)+SUMIF(Mid!$W$5:$W$168,$B103,Mid!AC$5:AC$167)</f>
        <v>0</v>
      </c>
      <c r="I103">
        <f ca="1">SUMIF(Top!$W$5:$W$168,$B103,Top!AD$5:AD$167)+SUMIF(Mid!$W$5:$W$168,$B103,Mid!AD$5:AD$167)</f>
        <v>0</v>
      </c>
      <c r="J103">
        <f ca="1">SUMIF(Top!$W$5:$W$168,$B103,Top!AE$5:AE$167)+SUMIF(Mid!$W$5:$W$168,$B103,Mid!AE$5:AE$167)</f>
        <v>0</v>
      </c>
      <c r="K103">
        <f ca="1">SUMIF(Top!$W$5:$W$168,$B103,Top!AF$5:AF$167)+SUMIF(Mid!$W$5:$W$168,$B103,Mid!AF$5:AF$167)</f>
        <v>0</v>
      </c>
      <c r="L103">
        <f ca="1">SUMIF(Top!$W$5:$W$168,$B103,Top!AG$5:AG$167)+SUMIF(Mid!$W$5:$W$168,$B103,Mid!AG$5:AG$167)</f>
        <v>0</v>
      </c>
      <c r="M103">
        <f ca="1">SUMIF(Top!$W$5:$W$168,$B103,Top!AH$5:AH$167)+SUMIF(Mid!$W$5:$W$168,$B103,Mid!AH$5:AH$167)</f>
        <v>0</v>
      </c>
      <c r="N103">
        <f ca="1">SUMIF(Top!$W$5:$W$168,$B103,Top!AI$5:AI$167)+SUMIF(Mid!$W$5:$W$168,$B103,Mid!AI$5:AI$167)</f>
        <v>0</v>
      </c>
      <c r="O103">
        <f ca="1">SUMIF(Top!$W$5:$W$168,$B103,Top!AJ$5:AJ$167)+SUMIF(Mid!$W$5:$W$168,$B103,Mid!AJ$5:AJ$167)</f>
        <v>0</v>
      </c>
      <c r="P103">
        <f ca="1">SUMIF(Top!$W$5:$W$168,$B103,Top!AK$5:AK$167)+SUMIF(Mid!$W$5:$W$168,$B103,Mid!AK$5:AK$167)</f>
        <v>0</v>
      </c>
      <c r="Q103">
        <f t="shared" ca="1" si="2"/>
        <v>0</v>
      </c>
      <c r="R103" s="17">
        <f t="shared" ca="1" si="3"/>
        <v>0</v>
      </c>
    </row>
    <row r="104" spans="2:18" x14ac:dyDescent="0.25">
      <c r="B104" t="s">
        <v>98</v>
      </c>
      <c r="C104">
        <f ca="1">SUMIF(Top!$W$5:$W$168,$B104,Top!X$5:X$167)+SUMIF(Mid!$W$5:$W$168,$B104,Mid!X$5:X$167)</f>
        <v>0</v>
      </c>
      <c r="D104">
        <f ca="1">SUMIF(Top!$W$5:$W$168,$B104,Top!Y$5:Y$167)+SUMIF(Mid!$W$5:$W$168,$B104,Mid!Y$5:Y$167)</f>
        <v>12</v>
      </c>
      <c r="E104">
        <f ca="1">SUMIF(Top!$W$5:$W$168,$B104,Top!Z$5:Z$167)+SUMIF(Mid!$W$5:$W$168,$B104,Mid!Z$5:Z$167)</f>
        <v>1</v>
      </c>
      <c r="F104">
        <f ca="1">SUMIF(Top!$W$5:$W$168,$B104,Top!AA$5:AA$167)+SUMIF(Mid!$W$5:$W$168,$B104,Mid!AA$5:AA$167)</f>
        <v>0</v>
      </c>
      <c r="G104">
        <f ca="1">SUMIF(Top!$W$5:$W$168,$B104,Top!AB$5:AB$167)+SUMIF(Mid!$W$5:$W$168,$B104,Mid!AB$5:AB$167)</f>
        <v>0</v>
      </c>
      <c r="H104">
        <f ca="1">SUMIF(Top!$W$5:$W$168,$B104,Top!AC$5:AC$167)+SUMIF(Mid!$W$5:$W$168,$B104,Mid!AC$5:AC$167)</f>
        <v>0</v>
      </c>
      <c r="I104">
        <f ca="1">SUMIF(Top!$W$5:$W$168,$B104,Top!AD$5:AD$167)+SUMIF(Mid!$W$5:$W$168,$B104,Mid!AD$5:AD$167)</f>
        <v>0</v>
      </c>
      <c r="J104">
        <f ca="1">SUMIF(Top!$W$5:$W$168,$B104,Top!AE$5:AE$167)+SUMIF(Mid!$W$5:$W$168,$B104,Mid!AE$5:AE$167)</f>
        <v>0</v>
      </c>
      <c r="K104">
        <f ca="1">SUMIF(Top!$W$5:$W$168,$B104,Top!AF$5:AF$167)+SUMIF(Mid!$W$5:$W$168,$B104,Mid!AF$5:AF$167)</f>
        <v>0</v>
      </c>
      <c r="L104">
        <f ca="1">SUMIF(Top!$W$5:$W$168,$B104,Top!AG$5:AG$167)+SUMIF(Mid!$W$5:$W$168,$B104,Mid!AG$5:AG$167)</f>
        <v>0</v>
      </c>
      <c r="M104">
        <f ca="1">SUMIF(Top!$W$5:$W$168,$B104,Top!AH$5:AH$167)+SUMIF(Mid!$W$5:$W$168,$B104,Mid!AH$5:AH$167)</f>
        <v>0</v>
      </c>
      <c r="N104">
        <f ca="1">SUMIF(Top!$W$5:$W$168,$B104,Top!AI$5:AI$167)+SUMIF(Mid!$W$5:$W$168,$B104,Mid!AI$5:AI$167)</f>
        <v>0</v>
      </c>
      <c r="O104">
        <f ca="1">SUMIF(Top!$W$5:$W$168,$B104,Top!AJ$5:AJ$167)+SUMIF(Mid!$W$5:$W$168,$B104,Mid!AJ$5:AJ$167)</f>
        <v>0</v>
      </c>
      <c r="P104">
        <f ca="1">SUMIF(Top!$W$5:$W$168,$B104,Top!AK$5:AK$167)+SUMIF(Mid!$W$5:$W$168,$B104,Mid!AK$5:AK$167)</f>
        <v>0</v>
      </c>
      <c r="Q104">
        <f t="shared" ca="1" si="2"/>
        <v>13</v>
      </c>
      <c r="R104" s="17">
        <f t="shared" ca="1" si="3"/>
        <v>6.5</v>
      </c>
    </row>
    <row r="105" spans="2:18" x14ac:dyDescent="0.25">
      <c r="B105" t="s">
        <v>302</v>
      </c>
      <c r="C105">
        <f ca="1">SUMIF(Top!$W$5:$W$168,$B105,Top!X$5:X$167)+SUMIF(Mid!$W$5:$W$168,$B105,Mid!X$5:X$167)</f>
        <v>0</v>
      </c>
      <c r="D105">
        <f ca="1">SUMIF(Top!$W$5:$W$168,$B105,Top!Y$5:Y$167)+SUMIF(Mid!$W$5:$W$168,$B105,Mid!Y$5:Y$167)</f>
        <v>0</v>
      </c>
      <c r="E105">
        <f ca="1">SUMIF(Top!$W$5:$W$168,$B105,Top!Z$5:Z$167)+SUMIF(Mid!$W$5:$W$168,$B105,Mid!Z$5:Z$167)</f>
        <v>0</v>
      </c>
      <c r="F105">
        <f ca="1">SUMIF(Top!$W$5:$W$168,$B105,Top!AA$5:AA$167)+SUMIF(Mid!$W$5:$W$168,$B105,Mid!AA$5:AA$167)</f>
        <v>0</v>
      </c>
      <c r="G105">
        <f ca="1">SUMIF(Top!$W$5:$W$168,$B105,Top!AB$5:AB$167)+SUMIF(Mid!$W$5:$W$168,$B105,Mid!AB$5:AB$167)</f>
        <v>0</v>
      </c>
      <c r="H105">
        <f ca="1">SUMIF(Top!$W$5:$W$168,$B105,Top!AC$5:AC$167)+SUMIF(Mid!$W$5:$W$168,$B105,Mid!AC$5:AC$167)</f>
        <v>0</v>
      </c>
      <c r="I105">
        <f ca="1">SUMIF(Top!$W$5:$W$168,$B105,Top!AD$5:AD$167)+SUMIF(Mid!$W$5:$W$168,$B105,Mid!AD$5:AD$167)</f>
        <v>0</v>
      </c>
      <c r="J105">
        <f ca="1">SUMIF(Top!$W$5:$W$168,$B105,Top!AE$5:AE$167)+SUMIF(Mid!$W$5:$W$168,$B105,Mid!AE$5:AE$167)</f>
        <v>0</v>
      </c>
      <c r="K105">
        <f ca="1">SUMIF(Top!$W$5:$W$168,$B105,Top!AF$5:AF$167)+SUMIF(Mid!$W$5:$W$168,$B105,Mid!AF$5:AF$167)</f>
        <v>0</v>
      </c>
      <c r="L105">
        <f ca="1">SUMIF(Top!$W$5:$W$168,$B105,Top!AG$5:AG$167)+SUMIF(Mid!$W$5:$W$168,$B105,Mid!AG$5:AG$167)</f>
        <v>0</v>
      </c>
      <c r="M105">
        <f ca="1">SUMIF(Top!$W$5:$W$168,$B105,Top!AH$5:AH$167)+SUMIF(Mid!$W$5:$W$168,$B105,Mid!AH$5:AH$167)</f>
        <v>0</v>
      </c>
      <c r="N105">
        <f ca="1">SUMIF(Top!$W$5:$W$168,$B105,Top!AI$5:AI$167)+SUMIF(Mid!$W$5:$W$168,$B105,Mid!AI$5:AI$167)</f>
        <v>0</v>
      </c>
      <c r="O105">
        <f ca="1">SUMIF(Top!$W$5:$W$168,$B105,Top!AJ$5:AJ$167)+SUMIF(Mid!$W$5:$W$168,$B105,Mid!AJ$5:AJ$167)</f>
        <v>0</v>
      </c>
      <c r="P105">
        <f ca="1">SUMIF(Top!$W$5:$W$168,$B105,Top!AK$5:AK$167)+SUMIF(Mid!$W$5:$W$168,$B105,Mid!AK$5:AK$167)</f>
        <v>0</v>
      </c>
      <c r="Q105">
        <f t="shared" ca="1" si="2"/>
        <v>0</v>
      </c>
      <c r="R105" s="17">
        <f t="shared" ca="1" si="3"/>
        <v>0</v>
      </c>
    </row>
    <row r="106" spans="2:18" x14ac:dyDescent="0.25">
      <c r="B106" t="s">
        <v>100</v>
      </c>
      <c r="C106">
        <f ca="1">SUMIF(Top!$W$5:$W$168,$B106,Top!X$5:X$167)+SUMIF(Mid!$W$5:$W$168,$B106,Mid!X$5:X$167)</f>
        <v>0</v>
      </c>
      <c r="D106">
        <f ca="1">SUMIF(Top!$W$5:$W$168,$B106,Top!Y$5:Y$167)+SUMIF(Mid!$W$5:$W$168,$B106,Mid!Y$5:Y$167)</f>
        <v>0</v>
      </c>
      <c r="E106">
        <f ca="1">SUMIF(Top!$W$5:$W$168,$B106,Top!Z$5:Z$167)+SUMIF(Mid!$W$5:$W$168,$B106,Mid!Z$5:Z$167)</f>
        <v>6</v>
      </c>
      <c r="F106">
        <f ca="1">SUMIF(Top!$W$5:$W$168,$B106,Top!AA$5:AA$167)+SUMIF(Mid!$W$5:$W$168,$B106,Mid!AA$5:AA$167)</f>
        <v>0</v>
      </c>
      <c r="G106">
        <f ca="1">SUMIF(Top!$W$5:$W$168,$B106,Top!AB$5:AB$167)+SUMIF(Mid!$W$5:$W$168,$B106,Mid!AB$5:AB$167)</f>
        <v>0</v>
      </c>
      <c r="H106">
        <f ca="1">SUMIF(Top!$W$5:$W$168,$B106,Top!AC$5:AC$167)+SUMIF(Mid!$W$5:$W$168,$B106,Mid!AC$5:AC$167)</f>
        <v>0</v>
      </c>
      <c r="I106">
        <f ca="1">SUMIF(Top!$W$5:$W$168,$B106,Top!AD$5:AD$167)+SUMIF(Mid!$W$5:$W$168,$B106,Mid!AD$5:AD$167)</f>
        <v>0</v>
      </c>
      <c r="J106">
        <f ca="1">SUMIF(Top!$W$5:$W$168,$B106,Top!AE$5:AE$167)+SUMIF(Mid!$W$5:$W$168,$B106,Mid!AE$5:AE$167)</f>
        <v>0</v>
      </c>
      <c r="K106">
        <f ca="1">SUMIF(Top!$W$5:$W$168,$B106,Top!AF$5:AF$167)+SUMIF(Mid!$W$5:$W$168,$B106,Mid!AF$5:AF$167)</f>
        <v>0</v>
      </c>
      <c r="L106">
        <f ca="1">SUMIF(Top!$W$5:$W$168,$B106,Top!AG$5:AG$167)+SUMIF(Mid!$W$5:$W$168,$B106,Mid!AG$5:AG$167)</f>
        <v>0</v>
      </c>
      <c r="M106">
        <f ca="1">SUMIF(Top!$W$5:$W$168,$B106,Top!AH$5:AH$167)+SUMIF(Mid!$W$5:$W$168,$B106,Mid!AH$5:AH$167)</f>
        <v>0</v>
      </c>
      <c r="N106">
        <f ca="1">SUMIF(Top!$W$5:$W$168,$B106,Top!AI$5:AI$167)+SUMIF(Mid!$W$5:$W$168,$B106,Mid!AI$5:AI$167)</f>
        <v>0</v>
      </c>
      <c r="O106">
        <f ca="1">SUMIF(Top!$W$5:$W$168,$B106,Top!AJ$5:AJ$167)+SUMIF(Mid!$W$5:$W$168,$B106,Mid!AJ$5:AJ$167)</f>
        <v>0</v>
      </c>
      <c r="P106">
        <f ca="1">SUMIF(Top!$W$5:$W$168,$B106,Top!AK$5:AK$167)+SUMIF(Mid!$W$5:$W$168,$B106,Mid!AK$5:AK$167)</f>
        <v>0</v>
      </c>
      <c r="Q106">
        <f t="shared" ca="1" si="2"/>
        <v>6</v>
      </c>
      <c r="R106" s="17">
        <f t="shared" ca="1" si="3"/>
        <v>6</v>
      </c>
    </row>
    <row r="107" spans="2:18" x14ac:dyDescent="0.25">
      <c r="B107" t="s">
        <v>101</v>
      </c>
      <c r="C107">
        <f ca="1">SUMIF(Top!$W$5:$W$168,$B107,Top!X$5:X$167)+SUMIF(Mid!$W$5:$W$168,$B107,Mid!X$5:X$167)</f>
        <v>0</v>
      </c>
      <c r="D107">
        <f ca="1">SUMIF(Top!$W$5:$W$168,$B107,Top!Y$5:Y$167)+SUMIF(Mid!$W$5:$W$168,$B107,Mid!Y$5:Y$167)</f>
        <v>0</v>
      </c>
      <c r="E107">
        <f ca="1">SUMIF(Top!$W$5:$W$168,$B107,Top!Z$5:Z$167)+SUMIF(Mid!$W$5:$W$168,$B107,Mid!Z$5:Z$167)</f>
        <v>0</v>
      </c>
      <c r="F107">
        <f ca="1">SUMIF(Top!$W$5:$W$168,$B107,Top!AA$5:AA$167)+SUMIF(Mid!$W$5:$W$168,$B107,Mid!AA$5:AA$167)</f>
        <v>0</v>
      </c>
      <c r="G107">
        <f ca="1">SUMIF(Top!$W$5:$W$168,$B107,Top!AB$5:AB$167)+SUMIF(Mid!$W$5:$W$168,$B107,Mid!AB$5:AB$167)</f>
        <v>0</v>
      </c>
      <c r="H107">
        <f ca="1">SUMIF(Top!$W$5:$W$168,$B107,Top!AC$5:AC$167)+SUMIF(Mid!$W$5:$W$168,$B107,Mid!AC$5:AC$167)</f>
        <v>0</v>
      </c>
      <c r="I107">
        <f ca="1">SUMIF(Top!$W$5:$W$168,$B107,Top!AD$5:AD$167)+SUMIF(Mid!$W$5:$W$168,$B107,Mid!AD$5:AD$167)</f>
        <v>0</v>
      </c>
      <c r="J107">
        <f ca="1">SUMIF(Top!$W$5:$W$168,$B107,Top!AE$5:AE$167)+SUMIF(Mid!$W$5:$W$168,$B107,Mid!AE$5:AE$167)</f>
        <v>0</v>
      </c>
      <c r="K107">
        <f ca="1">SUMIF(Top!$W$5:$W$168,$B107,Top!AF$5:AF$167)+SUMIF(Mid!$W$5:$W$168,$B107,Mid!AF$5:AF$167)</f>
        <v>0</v>
      </c>
      <c r="L107">
        <f ca="1">SUMIF(Top!$W$5:$W$168,$B107,Top!AG$5:AG$167)+SUMIF(Mid!$W$5:$W$168,$B107,Mid!AG$5:AG$167)</f>
        <v>0</v>
      </c>
      <c r="M107">
        <f ca="1">SUMIF(Top!$W$5:$W$168,$B107,Top!AH$5:AH$167)+SUMIF(Mid!$W$5:$W$168,$B107,Mid!AH$5:AH$167)</f>
        <v>0</v>
      </c>
      <c r="N107">
        <f ca="1">SUMIF(Top!$W$5:$W$168,$B107,Top!AI$5:AI$167)+SUMIF(Mid!$W$5:$W$168,$B107,Mid!AI$5:AI$167)</f>
        <v>0</v>
      </c>
      <c r="O107">
        <f ca="1">SUMIF(Top!$W$5:$W$168,$B107,Top!AJ$5:AJ$167)+SUMIF(Mid!$W$5:$W$168,$B107,Mid!AJ$5:AJ$167)</f>
        <v>0</v>
      </c>
      <c r="P107">
        <f ca="1">SUMIF(Top!$W$5:$W$168,$B107,Top!AK$5:AK$167)+SUMIF(Mid!$W$5:$W$168,$B107,Mid!AK$5:AK$167)</f>
        <v>0</v>
      </c>
      <c r="Q107">
        <f t="shared" ca="1" si="2"/>
        <v>0</v>
      </c>
      <c r="R107" s="17">
        <f t="shared" ca="1" si="3"/>
        <v>0</v>
      </c>
    </row>
    <row r="108" spans="2:18" x14ac:dyDescent="0.25">
      <c r="B108" t="s">
        <v>103</v>
      </c>
      <c r="C108">
        <f ca="1">SUMIF(Top!$W$5:$W$168,$B108,Top!X$5:X$167)+SUMIF(Mid!$W$5:$W$168,$B108,Mid!X$5:X$167)</f>
        <v>0</v>
      </c>
      <c r="D108">
        <f ca="1">SUMIF(Top!$W$5:$W$168,$B108,Top!Y$5:Y$167)+SUMIF(Mid!$W$5:$W$168,$B108,Mid!Y$5:Y$167)</f>
        <v>10</v>
      </c>
      <c r="E108">
        <f ca="1">SUMIF(Top!$W$5:$W$168,$B108,Top!Z$5:Z$167)+SUMIF(Mid!$W$5:$W$168,$B108,Mid!Z$5:Z$167)</f>
        <v>16</v>
      </c>
      <c r="F108">
        <f ca="1">SUMIF(Top!$W$5:$W$168,$B108,Top!AA$5:AA$167)+SUMIF(Mid!$W$5:$W$168,$B108,Mid!AA$5:AA$167)</f>
        <v>0</v>
      </c>
      <c r="G108">
        <f ca="1">SUMIF(Top!$W$5:$W$168,$B108,Top!AB$5:AB$167)+SUMIF(Mid!$W$5:$W$168,$B108,Mid!AB$5:AB$167)</f>
        <v>0</v>
      </c>
      <c r="H108">
        <f ca="1">SUMIF(Top!$W$5:$W$168,$B108,Top!AC$5:AC$167)+SUMIF(Mid!$W$5:$W$168,$B108,Mid!AC$5:AC$167)</f>
        <v>0</v>
      </c>
      <c r="I108">
        <f ca="1">SUMIF(Top!$W$5:$W$168,$B108,Top!AD$5:AD$167)+SUMIF(Mid!$W$5:$W$168,$B108,Mid!AD$5:AD$167)</f>
        <v>0</v>
      </c>
      <c r="J108">
        <f ca="1">SUMIF(Top!$W$5:$W$168,$B108,Top!AE$5:AE$167)+SUMIF(Mid!$W$5:$W$168,$B108,Mid!AE$5:AE$167)</f>
        <v>0</v>
      </c>
      <c r="K108">
        <f ca="1">SUMIF(Top!$W$5:$W$168,$B108,Top!AF$5:AF$167)+SUMIF(Mid!$W$5:$W$168,$B108,Mid!AF$5:AF$167)</f>
        <v>0</v>
      </c>
      <c r="L108">
        <f ca="1">SUMIF(Top!$W$5:$W$168,$B108,Top!AG$5:AG$167)+SUMIF(Mid!$W$5:$W$168,$B108,Mid!AG$5:AG$167)</f>
        <v>0</v>
      </c>
      <c r="M108">
        <f ca="1">SUMIF(Top!$W$5:$W$168,$B108,Top!AH$5:AH$167)+SUMIF(Mid!$W$5:$W$168,$B108,Mid!AH$5:AH$167)</f>
        <v>0</v>
      </c>
      <c r="N108">
        <f ca="1">SUMIF(Top!$W$5:$W$168,$B108,Top!AI$5:AI$167)+SUMIF(Mid!$W$5:$W$168,$B108,Mid!AI$5:AI$167)</f>
        <v>0</v>
      </c>
      <c r="O108">
        <f ca="1">SUMIF(Top!$W$5:$W$168,$B108,Top!AJ$5:AJ$167)+SUMIF(Mid!$W$5:$W$168,$B108,Mid!AJ$5:AJ$167)</f>
        <v>0</v>
      </c>
      <c r="P108">
        <f ca="1">SUMIF(Top!$W$5:$W$168,$B108,Top!AK$5:AK$167)+SUMIF(Mid!$W$5:$W$168,$B108,Mid!AK$5:AK$167)</f>
        <v>0</v>
      </c>
      <c r="Q108">
        <f t="shared" ca="1" si="2"/>
        <v>26</v>
      </c>
      <c r="R108" s="17">
        <f t="shared" ca="1" si="3"/>
        <v>13</v>
      </c>
    </row>
    <row r="109" spans="2:18" x14ac:dyDescent="0.25">
      <c r="B109" t="s">
        <v>104</v>
      </c>
      <c r="C109">
        <f ca="1">SUMIF(Top!$W$5:$W$168,$B109,Top!X$5:X$167)+SUMIF(Mid!$W$5:$W$168,$B109,Mid!X$5:X$167)</f>
        <v>26</v>
      </c>
      <c r="D109">
        <f ca="1">SUMIF(Top!$W$5:$W$168,$B109,Top!Y$5:Y$167)+SUMIF(Mid!$W$5:$W$168,$B109,Mid!Y$5:Y$167)</f>
        <v>0</v>
      </c>
      <c r="E109">
        <f ca="1">SUMIF(Top!$W$5:$W$168,$B109,Top!Z$5:Z$167)+SUMIF(Mid!$W$5:$W$168,$B109,Mid!Z$5:Z$167)</f>
        <v>0</v>
      </c>
      <c r="F109">
        <f ca="1">SUMIF(Top!$W$5:$W$168,$B109,Top!AA$5:AA$167)+SUMIF(Mid!$W$5:$W$168,$B109,Mid!AA$5:AA$167)</f>
        <v>5</v>
      </c>
      <c r="G109">
        <f ca="1">SUMIF(Top!$W$5:$W$168,$B109,Top!AB$5:AB$167)+SUMIF(Mid!$W$5:$W$168,$B109,Mid!AB$5:AB$167)</f>
        <v>0</v>
      </c>
      <c r="H109">
        <f ca="1">SUMIF(Top!$W$5:$W$168,$B109,Top!AC$5:AC$167)+SUMIF(Mid!$W$5:$W$168,$B109,Mid!AC$5:AC$167)</f>
        <v>0</v>
      </c>
      <c r="I109">
        <f ca="1">SUMIF(Top!$W$5:$W$168,$B109,Top!AD$5:AD$167)+SUMIF(Mid!$W$5:$W$168,$B109,Mid!AD$5:AD$167)</f>
        <v>0</v>
      </c>
      <c r="J109">
        <f ca="1">SUMIF(Top!$W$5:$W$168,$B109,Top!AE$5:AE$167)+SUMIF(Mid!$W$5:$W$168,$B109,Mid!AE$5:AE$167)</f>
        <v>0</v>
      </c>
      <c r="K109">
        <f ca="1">SUMIF(Top!$W$5:$W$168,$B109,Top!AF$5:AF$167)+SUMIF(Mid!$W$5:$W$168,$B109,Mid!AF$5:AF$167)</f>
        <v>0</v>
      </c>
      <c r="L109">
        <f ca="1">SUMIF(Top!$W$5:$W$168,$B109,Top!AG$5:AG$167)+SUMIF(Mid!$W$5:$W$168,$B109,Mid!AG$5:AG$167)</f>
        <v>0</v>
      </c>
      <c r="M109">
        <f ca="1">SUMIF(Top!$W$5:$W$168,$B109,Top!AH$5:AH$167)+SUMIF(Mid!$W$5:$W$168,$B109,Mid!AH$5:AH$167)</f>
        <v>0</v>
      </c>
      <c r="N109">
        <f ca="1">SUMIF(Top!$W$5:$W$168,$B109,Top!AI$5:AI$167)+SUMIF(Mid!$W$5:$W$168,$B109,Mid!AI$5:AI$167)</f>
        <v>0</v>
      </c>
      <c r="O109">
        <f ca="1">SUMIF(Top!$W$5:$W$168,$B109,Top!AJ$5:AJ$167)+SUMIF(Mid!$W$5:$W$168,$B109,Mid!AJ$5:AJ$167)</f>
        <v>0</v>
      </c>
      <c r="P109">
        <f ca="1">SUMIF(Top!$W$5:$W$168,$B109,Top!AK$5:AK$167)+SUMIF(Mid!$W$5:$W$168,$B109,Mid!AK$5:AK$167)</f>
        <v>0</v>
      </c>
      <c r="Q109">
        <f t="shared" ca="1" si="2"/>
        <v>31</v>
      </c>
      <c r="R109" s="17">
        <f t="shared" ca="1" si="3"/>
        <v>15.5</v>
      </c>
    </row>
    <row r="110" spans="2:18" x14ac:dyDescent="0.25">
      <c r="B110" t="s">
        <v>105</v>
      </c>
      <c r="C110">
        <f ca="1">SUMIF(Top!$W$5:$W$168,$B110,Top!X$5:X$167)+SUMIF(Mid!$W$5:$W$168,$B110,Mid!X$5:X$167)</f>
        <v>0</v>
      </c>
      <c r="D110">
        <f ca="1">SUMIF(Top!$W$5:$W$168,$B110,Top!Y$5:Y$167)+SUMIF(Mid!$W$5:$W$168,$B110,Mid!Y$5:Y$167)</f>
        <v>0</v>
      </c>
      <c r="E110">
        <f ca="1">SUMIF(Top!$W$5:$W$168,$B110,Top!Z$5:Z$167)+SUMIF(Mid!$W$5:$W$168,$B110,Mid!Z$5:Z$167)</f>
        <v>0</v>
      </c>
      <c r="F110">
        <f ca="1">SUMIF(Top!$W$5:$W$168,$B110,Top!AA$5:AA$167)+SUMIF(Mid!$W$5:$W$168,$B110,Mid!AA$5:AA$167)</f>
        <v>0</v>
      </c>
      <c r="G110">
        <f ca="1">SUMIF(Top!$W$5:$W$168,$B110,Top!AB$5:AB$167)+SUMIF(Mid!$W$5:$W$168,$B110,Mid!AB$5:AB$167)</f>
        <v>0</v>
      </c>
      <c r="H110">
        <f ca="1">SUMIF(Top!$W$5:$W$168,$B110,Top!AC$5:AC$167)+SUMIF(Mid!$W$5:$W$168,$B110,Mid!AC$5:AC$167)</f>
        <v>0</v>
      </c>
      <c r="I110">
        <f ca="1">SUMIF(Top!$W$5:$W$168,$B110,Top!AD$5:AD$167)+SUMIF(Mid!$W$5:$W$168,$B110,Mid!AD$5:AD$167)</f>
        <v>0</v>
      </c>
      <c r="J110">
        <f ca="1">SUMIF(Top!$W$5:$W$168,$B110,Top!AE$5:AE$167)+SUMIF(Mid!$W$5:$W$168,$B110,Mid!AE$5:AE$167)</f>
        <v>0</v>
      </c>
      <c r="K110">
        <f ca="1">SUMIF(Top!$W$5:$W$168,$B110,Top!AF$5:AF$167)+SUMIF(Mid!$W$5:$W$168,$B110,Mid!AF$5:AF$167)</f>
        <v>0</v>
      </c>
      <c r="L110">
        <f ca="1">SUMIF(Top!$W$5:$W$168,$B110,Top!AG$5:AG$167)+SUMIF(Mid!$W$5:$W$168,$B110,Mid!AG$5:AG$167)</f>
        <v>0</v>
      </c>
      <c r="M110">
        <f ca="1">SUMIF(Top!$W$5:$W$168,$B110,Top!AH$5:AH$167)+SUMIF(Mid!$W$5:$W$168,$B110,Mid!AH$5:AH$167)</f>
        <v>0</v>
      </c>
      <c r="N110">
        <f ca="1">SUMIF(Top!$W$5:$W$168,$B110,Top!AI$5:AI$167)+SUMIF(Mid!$W$5:$W$168,$B110,Mid!AI$5:AI$167)</f>
        <v>0</v>
      </c>
      <c r="O110">
        <f ca="1">SUMIF(Top!$W$5:$W$168,$B110,Top!AJ$5:AJ$167)+SUMIF(Mid!$W$5:$W$168,$B110,Mid!AJ$5:AJ$167)</f>
        <v>0</v>
      </c>
      <c r="P110">
        <f ca="1">SUMIF(Top!$W$5:$W$168,$B110,Top!AK$5:AK$167)+SUMIF(Mid!$W$5:$W$168,$B110,Mid!AK$5:AK$167)</f>
        <v>0</v>
      </c>
      <c r="Q110">
        <f t="shared" ca="1" si="2"/>
        <v>0</v>
      </c>
      <c r="R110" s="17">
        <f t="shared" ca="1" si="3"/>
        <v>0</v>
      </c>
    </row>
    <row r="111" spans="2:18" x14ac:dyDescent="0.25">
      <c r="B111" t="s">
        <v>106</v>
      </c>
      <c r="C111">
        <f ca="1">SUMIF(Top!$W$5:$W$168,$B111,Top!X$5:X$167)+SUMIF(Mid!$W$5:$W$168,$B111,Mid!X$5:X$167)</f>
        <v>0</v>
      </c>
      <c r="D111">
        <f ca="1">SUMIF(Top!$W$5:$W$168,$B111,Top!Y$5:Y$167)+SUMIF(Mid!$W$5:$W$168,$B111,Mid!Y$5:Y$167)</f>
        <v>0</v>
      </c>
      <c r="E111">
        <f ca="1">SUMIF(Top!$W$5:$W$168,$B111,Top!Z$5:Z$167)+SUMIF(Mid!$W$5:$W$168,$B111,Mid!Z$5:Z$167)</f>
        <v>0</v>
      </c>
      <c r="F111">
        <f ca="1">SUMIF(Top!$W$5:$W$168,$B111,Top!AA$5:AA$167)+SUMIF(Mid!$W$5:$W$168,$B111,Mid!AA$5:AA$167)</f>
        <v>0</v>
      </c>
      <c r="G111">
        <f ca="1">SUMIF(Top!$W$5:$W$168,$B111,Top!AB$5:AB$167)+SUMIF(Mid!$W$5:$W$168,$B111,Mid!AB$5:AB$167)</f>
        <v>0</v>
      </c>
      <c r="H111">
        <f ca="1">SUMIF(Top!$W$5:$W$168,$B111,Top!AC$5:AC$167)+SUMIF(Mid!$W$5:$W$168,$B111,Mid!AC$5:AC$167)</f>
        <v>0</v>
      </c>
      <c r="I111">
        <f ca="1">SUMIF(Top!$W$5:$W$168,$B111,Top!AD$5:AD$167)+SUMIF(Mid!$W$5:$W$168,$B111,Mid!AD$5:AD$167)</f>
        <v>0</v>
      </c>
      <c r="J111">
        <f ca="1">SUMIF(Top!$W$5:$W$168,$B111,Top!AE$5:AE$167)+SUMIF(Mid!$W$5:$W$168,$B111,Mid!AE$5:AE$167)</f>
        <v>0</v>
      </c>
      <c r="K111">
        <f ca="1">SUMIF(Top!$W$5:$W$168,$B111,Top!AF$5:AF$167)+SUMIF(Mid!$W$5:$W$168,$B111,Mid!AF$5:AF$167)</f>
        <v>0</v>
      </c>
      <c r="L111">
        <f ca="1">SUMIF(Top!$W$5:$W$168,$B111,Top!AG$5:AG$167)+SUMIF(Mid!$W$5:$W$168,$B111,Mid!AG$5:AG$167)</f>
        <v>0</v>
      </c>
      <c r="M111">
        <f ca="1">SUMIF(Top!$W$5:$W$168,$B111,Top!AH$5:AH$167)+SUMIF(Mid!$W$5:$W$168,$B111,Mid!AH$5:AH$167)</f>
        <v>0</v>
      </c>
      <c r="N111">
        <f ca="1">SUMIF(Top!$W$5:$W$168,$B111,Top!AI$5:AI$167)+SUMIF(Mid!$W$5:$W$168,$B111,Mid!AI$5:AI$167)</f>
        <v>0</v>
      </c>
      <c r="O111">
        <f ca="1">SUMIF(Top!$W$5:$W$168,$B111,Top!AJ$5:AJ$167)+SUMIF(Mid!$W$5:$W$168,$B111,Mid!AJ$5:AJ$167)</f>
        <v>0</v>
      </c>
      <c r="P111">
        <f ca="1">SUMIF(Top!$W$5:$W$168,$B111,Top!AK$5:AK$167)+SUMIF(Mid!$W$5:$W$168,$B111,Mid!AK$5:AK$167)</f>
        <v>0</v>
      </c>
      <c r="Q111">
        <f t="shared" ca="1" si="2"/>
        <v>0</v>
      </c>
      <c r="R111" s="17">
        <f t="shared" ca="1" si="3"/>
        <v>0</v>
      </c>
    </row>
    <row r="112" spans="2:18" x14ac:dyDescent="0.25">
      <c r="B112" t="s">
        <v>107</v>
      </c>
      <c r="C112">
        <f ca="1">SUMIF(Top!$W$5:$W$168,$B112,Top!X$5:X$167)+SUMIF(Mid!$W$5:$W$168,$B112,Mid!X$5:X$167)</f>
        <v>0</v>
      </c>
      <c r="D112">
        <f ca="1">SUMIF(Top!$W$5:$W$168,$B112,Top!Y$5:Y$167)+SUMIF(Mid!$W$5:$W$168,$B112,Mid!Y$5:Y$167)</f>
        <v>0</v>
      </c>
      <c r="E112">
        <f ca="1">SUMIF(Top!$W$5:$W$168,$B112,Top!Z$5:Z$167)+SUMIF(Mid!$W$5:$W$168,$B112,Mid!Z$5:Z$167)</f>
        <v>0</v>
      </c>
      <c r="F112">
        <f ca="1">SUMIF(Top!$W$5:$W$168,$B112,Top!AA$5:AA$167)+SUMIF(Mid!$W$5:$W$168,$B112,Mid!AA$5:AA$167)</f>
        <v>0</v>
      </c>
      <c r="G112">
        <f ca="1">SUMIF(Top!$W$5:$W$168,$B112,Top!AB$5:AB$167)+SUMIF(Mid!$W$5:$W$168,$B112,Mid!AB$5:AB$167)</f>
        <v>0</v>
      </c>
      <c r="H112">
        <f ca="1">SUMIF(Top!$W$5:$W$168,$B112,Top!AC$5:AC$167)+SUMIF(Mid!$W$5:$W$168,$B112,Mid!AC$5:AC$167)</f>
        <v>0</v>
      </c>
      <c r="I112">
        <f ca="1">SUMIF(Top!$W$5:$W$168,$B112,Top!AD$5:AD$167)+SUMIF(Mid!$W$5:$W$168,$B112,Mid!AD$5:AD$167)</f>
        <v>0</v>
      </c>
      <c r="J112">
        <f ca="1">SUMIF(Top!$W$5:$W$168,$B112,Top!AE$5:AE$167)+SUMIF(Mid!$W$5:$W$168,$B112,Mid!AE$5:AE$167)</f>
        <v>0</v>
      </c>
      <c r="K112">
        <f ca="1">SUMIF(Top!$W$5:$W$168,$B112,Top!AF$5:AF$167)+SUMIF(Mid!$W$5:$W$168,$B112,Mid!AF$5:AF$167)</f>
        <v>0</v>
      </c>
      <c r="L112">
        <f ca="1">SUMIF(Top!$W$5:$W$168,$B112,Top!AG$5:AG$167)+SUMIF(Mid!$W$5:$W$168,$B112,Mid!AG$5:AG$167)</f>
        <v>0</v>
      </c>
      <c r="M112">
        <f ca="1">SUMIF(Top!$W$5:$W$168,$B112,Top!AH$5:AH$167)+SUMIF(Mid!$W$5:$W$168,$B112,Mid!AH$5:AH$167)</f>
        <v>0</v>
      </c>
      <c r="N112">
        <f ca="1">SUMIF(Top!$W$5:$W$168,$B112,Top!AI$5:AI$167)+SUMIF(Mid!$W$5:$W$168,$B112,Mid!AI$5:AI$167)</f>
        <v>0</v>
      </c>
      <c r="O112">
        <f ca="1">SUMIF(Top!$W$5:$W$168,$B112,Top!AJ$5:AJ$167)+SUMIF(Mid!$W$5:$W$168,$B112,Mid!AJ$5:AJ$167)</f>
        <v>0</v>
      </c>
      <c r="P112">
        <f ca="1">SUMIF(Top!$W$5:$W$168,$B112,Top!AK$5:AK$167)+SUMIF(Mid!$W$5:$W$168,$B112,Mid!AK$5:AK$167)</f>
        <v>0</v>
      </c>
      <c r="Q112">
        <f t="shared" ca="1" si="2"/>
        <v>0</v>
      </c>
      <c r="R112" s="17">
        <f t="shared" ca="1" si="3"/>
        <v>0</v>
      </c>
    </row>
    <row r="113" spans="2:18" x14ac:dyDescent="0.25">
      <c r="B113" t="s">
        <v>108</v>
      </c>
      <c r="C113">
        <f ca="1">SUMIF(Top!$W$5:$W$168,$B113,Top!X$5:X$167)+SUMIF(Mid!$W$5:$W$168,$B113,Mid!X$5:X$167)</f>
        <v>0</v>
      </c>
      <c r="D113">
        <f ca="1">SUMIF(Top!$W$5:$W$168,$B113,Top!Y$5:Y$167)+SUMIF(Mid!$W$5:$W$168,$B113,Mid!Y$5:Y$167)</f>
        <v>0</v>
      </c>
      <c r="E113">
        <f ca="1">SUMIF(Top!$W$5:$W$168,$B113,Top!Z$5:Z$167)+SUMIF(Mid!$W$5:$W$168,$B113,Mid!Z$5:Z$167)</f>
        <v>0</v>
      </c>
      <c r="F113">
        <f ca="1">SUMIF(Top!$W$5:$W$168,$B113,Top!AA$5:AA$167)+SUMIF(Mid!$W$5:$W$168,$B113,Mid!AA$5:AA$167)</f>
        <v>0</v>
      </c>
      <c r="G113">
        <f ca="1">SUMIF(Top!$W$5:$W$168,$B113,Top!AB$5:AB$167)+SUMIF(Mid!$W$5:$W$168,$B113,Mid!AB$5:AB$167)</f>
        <v>0</v>
      </c>
      <c r="H113">
        <f ca="1">SUMIF(Top!$W$5:$W$168,$B113,Top!AC$5:AC$167)+SUMIF(Mid!$W$5:$W$168,$B113,Mid!AC$5:AC$167)</f>
        <v>0</v>
      </c>
      <c r="I113">
        <f ca="1">SUMIF(Top!$W$5:$W$168,$B113,Top!AD$5:AD$167)+SUMIF(Mid!$W$5:$W$168,$B113,Mid!AD$5:AD$167)</f>
        <v>0</v>
      </c>
      <c r="J113">
        <f ca="1">SUMIF(Top!$W$5:$W$168,$B113,Top!AE$5:AE$167)+SUMIF(Mid!$W$5:$W$168,$B113,Mid!AE$5:AE$167)</f>
        <v>0</v>
      </c>
      <c r="K113">
        <f ca="1">SUMIF(Top!$W$5:$W$168,$B113,Top!AF$5:AF$167)+SUMIF(Mid!$W$5:$W$168,$B113,Mid!AF$5:AF$167)</f>
        <v>0</v>
      </c>
      <c r="L113">
        <f ca="1">SUMIF(Top!$W$5:$W$168,$B113,Top!AG$5:AG$167)+SUMIF(Mid!$W$5:$W$168,$B113,Mid!AG$5:AG$167)</f>
        <v>0</v>
      </c>
      <c r="M113">
        <f ca="1">SUMIF(Top!$W$5:$W$168,$B113,Top!AH$5:AH$167)+SUMIF(Mid!$W$5:$W$168,$B113,Mid!AH$5:AH$167)</f>
        <v>0</v>
      </c>
      <c r="N113">
        <f ca="1">SUMIF(Top!$W$5:$W$168,$B113,Top!AI$5:AI$167)+SUMIF(Mid!$W$5:$W$168,$B113,Mid!AI$5:AI$167)</f>
        <v>0</v>
      </c>
      <c r="O113">
        <f ca="1">SUMIF(Top!$W$5:$W$168,$B113,Top!AJ$5:AJ$167)+SUMIF(Mid!$W$5:$W$168,$B113,Mid!AJ$5:AJ$167)</f>
        <v>0</v>
      </c>
      <c r="P113">
        <f ca="1">SUMIF(Top!$W$5:$W$168,$B113,Top!AK$5:AK$167)+SUMIF(Mid!$W$5:$W$168,$B113,Mid!AK$5:AK$167)</f>
        <v>0</v>
      </c>
      <c r="Q113">
        <f t="shared" ca="1" si="2"/>
        <v>0</v>
      </c>
      <c r="R113" s="17">
        <f t="shared" ca="1" si="3"/>
        <v>0</v>
      </c>
    </row>
    <row r="114" spans="2:18" x14ac:dyDescent="0.25">
      <c r="B114" t="s">
        <v>110</v>
      </c>
      <c r="C114">
        <f ca="1">SUMIF(Top!$W$5:$W$168,$B114,Top!X$5:X$167)+SUMIF(Mid!$W$5:$W$168,$B114,Mid!X$5:X$167)</f>
        <v>0</v>
      </c>
      <c r="D114">
        <f ca="1">SUMIF(Top!$W$5:$W$168,$B114,Top!Y$5:Y$167)+SUMIF(Mid!$W$5:$W$168,$B114,Mid!Y$5:Y$167)</f>
        <v>0</v>
      </c>
      <c r="E114">
        <f ca="1">SUMIF(Top!$W$5:$W$168,$B114,Top!Z$5:Z$167)+SUMIF(Mid!$W$5:$W$168,$B114,Mid!Z$5:Z$167)</f>
        <v>0</v>
      </c>
      <c r="F114">
        <f ca="1">SUMIF(Top!$W$5:$W$168,$B114,Top!AA$5:AA$167)+SUMIF(Mid!$W$5:$W$168,$B114,Mid!AA$5:AA$167)</f>
        <v>0</v>
      </c>
      <c r="G114">
        <f ca="1">SUMIF(Top!$W$5:$W$168,$B114,Top!AB$5:AB$167)+SUMIF(Mid!$W$5:$W$168,$B114,Mid!AB$5:AB$167)</f>
        <v>0</v>
      </c>
      <c r="H114">
        <f ca="1">SUMIF(Top!$W$5:$W$168,$B114,Top!AC$5:AC$167)+SUMIF(Mid!$W$5:$W$168,$B114,Mid!AC$5:AC$167)</f>
        <v>0</v>
      </c>
      <c r="I114">
        <f ca="1">SUMIF(Top!$W$5:$W$168,$B114,Top!AD$5:AD$167)+SUMIF(Mid!$W$5:$W$168,$B114,Mid!AD$5:AD$167)</f>
        <v>0</v>
      </c>
      <c r="J114">
        <f ca="1">SUMIF(Top!$W$5:$W$168,$B114,Top!AE$5:AE$167)+SUMIF(Mid!$W$5:$W$168,$B114,Mid!AE$5:AE$167)</f>
        <v>0</v>
      </c>
      <c r="K114">
        <f ca="1">SUMIF(Top!$W$5:$W$168,$B114,Top!AF$5:AF$167)+SUMIF(Mid!$W$5:$W$168,$B114,Mid!AF$5:AF$167)</f>
        <v>0</v>
      </c>
      <c r="L114">
        <f ca="1">SUMIF(Top!$W$5:$W$168,$B114,Top!AG$5:AG$167)+SUMIF(Mid!$W$5:$W$168,$B114,Mid!AG$5:AG$167)</f>
        <v>0</v>
      </c>
      <c r="M114">
        <f ca="1">SUMIF(Top!$W$5:$W$168,$B114,Top!AH$5:AH$167)+SUMIF(Mid!$W$5:$W$168,$B114,Mid!AH$5:AH$167)</f>
        <v>0</v>
      </c>
      <c r="N114">
        <f ca="1">SUMIF(Top!$W$5:$W$168,$B114,Top!AI$5:AI$167)+SUMIF(Mid!$W$5:$W$168,$B114,Mid!AI$5:AI$167)</f>
        <v>0</v>
      </c>
      <c r="O114">
        <f ca="1">SUMIF(Top!$W$5:$W$168,$B114,Top!AJ$5:AJ$167)+SUMIF(Mid!$W$5:$W$168,$B114,Mid!AJ$5:AJ$167)</f>
        <v>0</v>
      </c>
      <c r="P114">
        <f ca="1">SUMIF(Top!$W$5:$W$168,$B114,Top!AK$5:AK$167)+SUMIF(Mid!$W$5:$W$168,$B114,Mid!AK$5:AK$167)</f>
        <v>0</v>
      </c>
      <c r="Q114">
        <f t="shared" ca="1" si="2"/>
        <v>0</v>
      </c>
      <c r="R114" s="17">
        <f t="shared" ca="1" si="3"/>
        <v>0</v>
      </c>
    </row>
    <row r="115" spans="2:18" x14ac:dyDescent="0.25">
      <c r="B115" t="s">
        <v>111</v>
      </c>
      <c r="C115">
        <f ca="1">SUMIF(Top!$W$5:$W$168,$B115,Top!X$5:X$167)+SUMIF(Mid!$W$5:$W$168,$B115,Mid!X$5:X$167)</f>
        <v>0</v>
      </c>
      <c r="D115">
        <f ca="1">SUMIF(Top!$W$5:$W$168,$B115,Top!Y$5:Y$167)+SUMIF(Mid!$W$5:$W$168,$B115,Mid!Y$5:Y$167)</f>
        <v>0</v>
      </c>
      <c r="E115">
        <f ca="1">SUMIF(Top!$W$5:$W$168,$B115,Top!Z$5:Z$167)+SUMIF(Mid!$W$5:$W$168,$B115,Mid!Z$5:Z$167)</f>
        <v>0</v>
      </c>
      <c r="F115">
        <f ca="1">SUMIF(Top!$W$5:$W$168,$B115,Top!AA$5:AA$167)+SUMIF(Mid!$W$5:$W$168,$B115,Mid!AA$5:AA$167)</f>
        <v>4</v>
      </c>
      <c r="G115">
        <f ca="1">SUMIF(Top!$W$5:$W$168,$B115,Top!AB$5:AB$167)+SUMIF(Mid!$W$5:$W$168,$B115,Mid!AB$5:AB$167)</f>
        <v>0</v>
      </c>
      <c r="H115">
        <f ca="1">SUMIF(Top!$W$5:$W$168,$B115,Top!AC$5:AC$167)+SUMIF(Mid!$W$5:$W$168,$B115,Mid!AC$5:AC$167)</f>
        <v>0</v>
      </c>
      <c r="I115">
        <f ca="1">SUMIF(Top!$W$5:$W$168,$B115,Top!AD$5:AD$167)+SUMIF(Mid!$W$5:$W$168,$B115,Mid!AD$5:AD$167)</f>
        <v>0</v>
      </c>
      <c r="J115">
        <f ca="1">SUMIF(Top!$W$5:$W$168,$B115,Top!AE$5:AE$167)+SUMIF(Mid!$W$5:$W$168,$B115,Mid!AE$5:AE$167)</f>
        <v>0</v>
      </c>
      <c r="K115">
        <f ca="1">SUMIF(Top!$W$5:$W$168,$B115,Top!AF$5:AF$167)+SUMIF(Mid!$W$5:$W$168,$B115,Mid!AF$5:AF$167)</f>
        <v>0</v>
      </c>
      <c r="L115">
        <f ca="1">SUMIF(Top!$W$5:$W$168,$B115,Top!AG$5:AG$167)+SUMIF(Mid!$W$5:$W$168,$B115,Mid!AG$5:AG$167)</f>
        <v>0</v>
      </c>
      <c r="M115">
        <f ca="1">SUMIF(Top!$W$5:$W$168,$B115,Top!AH$5:AH$167)+SUMIF(Mid!$W$5:$W$168,$B115,Mid!AH$5:AH$167)</f>
        <v>0</v>
      </c>
      <c r="N115">
        <f ca="1">SUMIF(Top!$W$5:$W$168,$B115,Top!AI$5:AI$167)+SUMIF(Mid!$W$5:$W$168,$B115,Mid!AI$5:AI$167)</f>
        <v>0</v>
      </c>
      <c r="O115">
        <f ca="1">SUMIF(Top!$W$5:$W$168,$B115,Top!AJ$5:AJ$167)+SUMIF(Mid!$W$5:$W$168,$B115,Mid!AJ$5:AJ$167)</f>
        <v>0</v>
      </c>
      <c r="P115">
        <f ca="1">SUMIF(Top!$W$5:$W$168,$B115,Top!AK$5:AK$167)+SUMIF(Mid!$W$5:$W$168,$B115,Mid!AK$5:AK$167)</f>
        <v>0</v>
      </c>
      <c r="Q115">
        <f t="shared" ca="1" si="2"/>
        <v>4</v>
      </c>
      <c r="R115" s="17">
        <f t="shared" ca="1" si="3"/>
        <v>4</v>
      </c>
    </row>
    <row r="116" spans="2:18" x14ac:dyDescent="0.25">
      <c r="B116" t="s">
        <v>112</v>
      </c>
      <c r="C116">
        <f ca="1">SUMIF(Top!$W$5:$W$168,$B116,Top!X$5:X$167)+SUMIF(Mid!$W$5:$W$168,$B116,Mid!X$5:X$167)</f>
        <v>10</v>
      </c>
      <c r="D116">
        <f ca="1">SUMIF(Top!$W$5:$W$168,$B116,Top!Y$5:Y$167)+SUMIF(Mid!$W$5:$W$168,$B116,Mid!Y$5:Y$167)</f>
        <v>0</v>
      </c>
      <c r="E116">
        <f ca="1">SUMIF(Top!$W$5:$W$168,$B116,Top!Z$5:Z$167)+SUMIF(Mid!$W$5:$W$168,$B116,Mid!Z$5:Z$167)</f>
        <v>0</v>
      </c>
      <c r="F116">
        <f ca="1">SUMIF(Top!$W$5:$W$168,$B116,Top!AA$5:AA$167)+SUMIF(Mid!$W$5:$W$168,$B116,Mid!AA$5:AA$167)</f>
        <v>0</v>
      </c>
      <c r="G116">
        <f ca="1">SUMIF(Top!$W$5:$W$168,$B116,Top!AB$5:AB$167)+SUMIF(Mid!$W$5:$W$168,$B116,Mid!AB$5:AB$167)</f>
        <v>0</v>
      </c>
      <c r="H116">
        <f ca="1">SUMIF(Top!$W$5:$W$168,$B116,Top!AC$5:AC$167)+SUMIF(Mid!$W$5:$W$168,$B116,Mid!AC$5:AC$167)</f>
        <v>0</v>
      </c>
      <c r="I116">
        <f ca="1">SUMIF(Top!$W$5:$W$168,$B116,Top!AD$5:AD$167)+SUMIF(Mid!$W$5:$W$168,$B116,Mid!AD$5:AD$167)</f>
        <v>0</v>
      </c>
      <c r="J116">
        <f ca="1">SUMIF(Top!$W$5:$W$168,$B116,Top!AE$5:AE$167)+SUMIF(Mid!$W$5:$W$168,$B116,Mid!AE$5:AE$167)</f>
        <v>0</v>
      </c>
      <c r="K116">
        <f ca="1">SUMIF(Top!$W$5:$W$168,$B116,Top!AF$5:AF$167)+SUMIF(Mid!$W$5:$W$168,$B116,Mid!AF$5:AF$167)</f>
        <v>0</v>
      </c>
      <c r="L116">
        <f ca="1">SUMIF(Top!$W$5:$W$168,$B116,Top!AG$5:AG$167)+SUMIF(Mid!$W$5:$W$168,$B116,Mid!AG$5:AG$167)</f>
        <v>0</v>
      </c>
      <c r="M116">
        <f ca="1">SUMIF(Top!$W$5:$W$168,$B116,Top!AH$5:AH$167)+SUMIF(Mid!$W$5:$W$168,$B116,Mid!AH$5:AH$167)</f>
        <v>0</v>
      </c>
      <c r="N116">
        <f ca="1">SUMIF(Top!$W$5:$W$168,$B116,Top!AI$5:AI$167)+SUMIF(Mid!$W$5:$W$168,$B116,Mid!AI$5:AI$167)</f>
        <v>0</v>
      </c>
      <c r="O116">
        <f ca="1">SUMIF(Top!$W$5:$W$168,$B116,Top!AJ$5:AJ$167)+SUMIF(Mid!$W$5:$W$168,$B116,Mid!AJ$5:AJ$167)</f>
        <v>0</v>
      </c>
      <c r="P116">
        <f ca="1">SUMIF(Top!$W$5:$W$168,$B116,Top!AK$5:AK$167)+SUMIF(Mid!$W$5:$W$168,$B116,Mid!AK$5:AK$167)</f>
        <v>0</v>
      </c>
      <c r="Q116">
        <f t="shared" ca="1" si="2"/>
        <v>10</v>
      </c>
      <c r="R116" s="17">
        <f t="shared" ca="1" si="3"/>
        <v>10</v>
      </c>
    </row>
    <row r="117" spans="2:18" x14ac:dyDescent="0.25">
      <c r="B117" t="s">
        <v>113</v>
      </c>
      <c r="C117">
        <f ca="1">SUMIF(Top!$W$5:$W$168,$B117,Top!X$5:X$167)+SUMIF(Mid!$W$5:$W$168,$B117,Mid!X$5:X$167)</f>
        <v>0</v>
      </c>
      <c r="D117">
        <f ca="1">SUMIF(Top!$W$5:$W$168,$B117,Top!Y$5:Y$167)+SUMIF(Mid!$W$5:$W$168,$B117,Mid!Y$5:Y$167)</f>
        <v>0</v>
      </c>
      <c r="E117">
        <f ca="1">SUMIF(Top!$W$5:$W$168,$B117,Top!Z$5:Z$167)+SUMIF(Mid!$W$5:$W$168,$B117,Mid!Z$5:Z$167)</f>
        <v>0</v>
      </c>
      <c r="F117">
        <f ca="1">SUMIF(Top!$W$5:$W$168,$B117,Top!AA$5:AA$167)+SUMIF(Mid!$W$5:$W$168,$B117,Mid!AA$5:AA$167)</f>
        <v>0</v>
      </c>
      <c r="G117">
        <f ca="1">SUMIF(Top!$W$5:$W$168,$B117,Top!AB$5:AB$167)+SUMIF(Mid!$W$5:$W$168,$B117,Mid!AB$5:AB$167)</f>
        <v>0</v>
      </c>
      <c r="H117">
        <f ca="1">SUMIF(Top!$W$5:$W$168,$B117,Top!AC$5:AC$167)+SUMIF(Mid!$W$5:$W$168,$B117,Mid!AC$5:AC$167)</f>
        <v>0</v>
      </c>
      <c r="I117">
        <f ca="1">SUMIF(Top!$W$5:$W$168,$B117,Top!AD$5:AD$167)+SUMIF(Mid!$W$5:$W$168,$B117,Mid!AD$5:AD$167)</f>
        <v>0</v>
      </c>
      <c r="J117">
        <f ca="1">SUMIF(Top!$W$5:$W$168,$B117,Top!AE$5:AE$167)+SUMIF(Mid!$W$5:$W$168,$B117,Mid!AE$5:AE$167)</f>
        <v>0</v>
      </c>
      <c r="K117">
        <f ca="1">SUMIF(Top!$W$5:$W$168,$B117,Top!AF$5:AF$167)+SUMIF(Mid!$W$5:$W$168,$B117,Mid!AF$5:AF$167)</f>
        <v>0</v>
      </c>
      <c r="L117">
        <f ca="1">SUMIF(Top!$W$5:$W$168,$B117,Top!AG$5:AG$167)+SUMIF(Mid!$W$5:$W$168,$B117,Mid!AG$5:AG$167)</f>
        <v>0</v>
      </c>
      <c r="M117">
        <f ca="1">SUMIF(Top!$W$5:$W$168,$B117,Top!AH$5:AH$167)+SUMIF(Mid!$W$5:$W$168,$B117,Mid!AH$5:AH$167)</f>
        <v>0</v>
      </c>
      <c r="N117">
        <f ca="1">SUMIF(Top!$W$5:$W$168,$B117,Top!AI$5:AI$167)+SUMIF(Mid!$W$5:$W$168,$B117,Mid!AI$5:AI$167)</f>
        <v>0</v>
      </c>
      <c r="O117">
        <f ca="1">SUMIF(Top!$W$5:$W$168,$B117,Top!AJ$5:AJ$167)+SUMIF(Mid!$W$5:$W$168,$B117,Mid!AJ$5:AJ$167)</f>
        <v>0</v>
      </c>
      <c r="P117">
        <f ca="1">SUMIF(Top!$W$5:$W$168,$B117,Top!AK$5:AK$167)+SUMIF(Mid!$W$5:$W$168,$B117,Mid!AK$5:AK$167)</f>
        <v>0</v>
      </c>
      <c r="Q117">
        <f t="shared" ca="1" si="2"/>
        <v>0</v>
      </c>
      <c r="R117" s="17">
        <f t="shared" ca="1" si="3"/>
        <v>0</v>
      </c>
    </row>
    <row r="118" spans="2:18" x14ac:dyDescent="0.25">
      <c r="B118" t="s">
        <v>114</v>
      </c>
      <c r="C118">
        <f ca="1">SUMIF(Top!$W$5:$W$168,$B118,Top!X$5:X$167)+SUMIF(Mid!$W$5:$W$168,$B118,Mid!X$5:X$167)</f>
        <v>0</v>
      </c>
      <c r="D118">
        <f ca="1">SUMIF(Top!$W$5:$W$168,$B118,Top!Y$5:Y$167)+SUMIF(Mid!$W$5:$W$168,$B118,Mid!Y$5:Y$167)</f>
        <v>0</v>
      </c>
      <c r="E118">
        <f ca="1">SUMIF(Top!$W$5:$W$168,$B118,Top!Z$5:Z$167)+SUMIF(Mid!$W$5:$W$168,$B118,Mid!Z$5:Z$167)</f>
        <v>0</v>
      </c>
      <c r="F118">
        <f ca="1">SUMIF(Top!$W$5:$W$168,$B118,Top!AA$5:AA$167)+SUMIF(Mid!$W$5:$W$168,$B118,Mid!AA$5:AA$167)</f>
        <v>0</v>
      </c>
      <c r="G118">
        <f ca="1">SUMIF(Top!$W$5:$W$168,$B118,Top!AB$5:AB$167)+SUMIF(Mid!$W$5:$W$168,$B118,Mid!AB$5:AB$167)</f>
        <v>0</v>
      </c>
      <c r="H118">
        <f ca="1">SUMIF(Top!$W$5:$W$168,$B118,Top!AC$5:AC$167)+SUMIF(Mid!$W$5:$W$168,$B118,Mid!AC$5:AC$167)</f>
        <v>0</v>
      </c>
      <c r="I118">
        <f ca="1">SUMIF(Top!$W$5:$W$168,$B118,Top!AD$5:AD$167)+SUMIF(Mid!$W$5:$W$168,$B118,Mid!AD$5:AD$167)</f>
        <v>0</v>
      </c>
      <c r="J118">
        <f ca="1">SUMIF(Top!$W$5:$W$168,$B118,Top!AE$5:AE$167)+SUMIF(Mid!$W$5:$W$168,$B118,Mid!AE$5:AE$167)</f>
        <v>0</v>
      </c>
      <c r="K118">
        <f ca="1">SUMIF(Top!$W$5:$W$168,$B118,Top!AF$5:AF$167)+SUMIF(Mid!$W$5:$W$168,$B118,Mid!AF$5:AF$167)</f>
        <v>0</v>
      </c>
      <c r="L118">
        <f ca="1">SUMIF(Top!$W$5:$W$168,$B118,Top!AG$5:AG$167)+SUMIF(Mid!$W$5:$W$168,$B118,Mid!AG$5:AG$167)</f>
        <v>0</v>
      </c>
      <c r="M118">
        <f ca="1">SUMIF(Top!$W$5:$W$168,$B118,Top!AH$5:AH$167)+SUMIF(Mid!$W$5:$W$168,$B118,Mid!AH$5:AH$167)</f>
        <v>0</v>
      </c>
      <c r="N118">
        <f ca="1">SUMIF(Top!$W$5:$W$168,$B118,Top!AI$5:AI$167)+SUMIF(Mid!$W$5:$W$168,$B118,Mid!AI$5:AI$167)</f>
        <v>0</v>
      </c>
      <c r="O118">
        <f ca="1">SUMIF(Top!$W$5:$W$168,$B118,Top!AJ$5:AJ$167)+SUMIF(Mid!$W$5:$W$168,$B118,Mid!AJ$5:AJ$167)</f>
        <v>0</v>
      </c>
      <c r="P118">
        <f ca="1">SUMIF(Top!$W$5:$W$168,$B118,Top!AK$5:AK$167)+SUMIF(Mid!$W$5:$W$168,$B118,Mid!AK$5:AK$167)</f>
        <v>0</v>
      </c>
      <c r="Q118">
        <f t="shared" ca="1" si="2"/>
        <v>0</v>
      </c>
      <c r="R118" s="17">
        <f t="shared" ca="1" si="3"/>
        <v>0</v>
      </c>
    </row>
    <row r="119" spans="2:18" x14ac:dyDescent="0.25">
      <c r="B119" t="s">
        <v>116</v>
      </c>
      <c r="C119">
        <f ca="1">SUMIF(Top!$W$5:$W$168,$B119,Top!X$5:X$167)+SUMIF(Mid!$W$5:$W$168,$B119,Mid!X$5:X$167)</f>
        <v>0</v>
      </c>
      <c r="D119">
        <f ca="1">SUMIF(Top!$W$5:$W$168,$B119,Top!Y$5:Y$167)+SUMIF(Mid!$W$5:$W$168,$B119,Mid!Y$5:Y$167)</f>
        <v>0</v>
      </c>
      <c r="E119">
        <f ca="1">SUMIF(Top!$W$5:$W$168,$B119,Top!Z$5:Z$167)+SUMIF(Mid!$W$5:$W$168,$B119,Mid!Z$5:Z$167)</f>
        <v>0</v>
      </c>
      <c r="F119">
        <f ca="1">SUMIF(Top!$W$5:$W$168,$B119,Top!AA$5:AA$167)+SUMIF(Mid!$W$5:$W$168,$B119,Mid!AA$5:AA$167)</f>
        <v>16</v>
      </c>
      <c r="G119">
        <f ca="1">SUMIF(Top!$W$5:$W$168,$B119,Top!AB$5:AB$167)+SUMIF(Mid!$W$5:$W$168,$B119,Mid!AB$5:AB$167)</f>
        <v>0</v>
      </c>
      <c r="H119">
        <f ca="1">SUMIF(Top!$W$5:$W$168,$B119,Top!AC$5:AC$167)+SUMIF(Mid!$W$5:$W$168,$B119,Mid!AC$5:AC$167)</f>
        <v>0</v>
      </c>
      <c r="I119">
        <f ca="1">SUMIF(Top!$W$5:$W$168,$B119,Top!AD$5:AD$167)+SUMIF(Mid!$W$5:$W$168,$B119,Mid!AD$5:AD$167)</f>
        <v>0</v>
      </c>
      <c r="J119">
        <f ca="1">SUMIF(Top!$W$5:$W$168,$B119,Top!AE$5:AE$167)+SUMIF(Mid!$W$5:$W$168,$B119,Mid!AE$5:AE$167)</f>
        <v>0</v>
      </c>
      <c r="K119">
        <f ca="1">SUMIF(Top!$W$5:$W$168,$B119,Top!AF$5:AF$167)+SUMIF(Mid!$W$5:$W$168,$B119,Mid!AF$5:AF$167)</f>
        <v>0</v>
      </c>
      <c r="L119">
        <f ca="1">SUMIF(Top!$W$5:$W$168,$B119,Top!AG$5:AG$167)+SUMIF(Mid!$W$5:$W$168,$B119,Mid!AG$5:AG$167)</f>
        <v>0</v>
      </c>
      <c r="M119">
        <f ca="1">SUMIF(Top!$W$5:$W$168,$B119,Top!AH$5:AH$167)+SUMIF(Mid!$W$5:$W$168,$B119,Mid!AH$5:AH$167)</f>
        <v>0</v>
      </c>
      <c r="N119">
        <f ca="1">SUMIF(Top!$W$5:$W$168,$B119,Top!AI$5:AI$167)+SUMIF(Mid!$W$5:$W$168,$B119,Mid!AI$5:AI$167)</f>
        <v>0</v>
      </c>
      <c r="O119">
        <f ca="1">SUMIF(Top!$W$5:$W$168,$B119,Top!AJ$5:AJ$167)+SUMIF(Mid!$W$5:$W$168,$B119,Mid!AJ$5:AJ$167)</f>
        <v>0</v>
      </c>
      <c r="P119">
        <f ca="1">SUMIF(Top!$W$5:$W$168,$B119,Top!AK$5:AK$167)+SUMIF(Mid!$W$5:$W$168,$B119,Mid!AK$5:AK$167)</f>
        <v>0</v>
      </c>
      <c r="Q119">
        <f t="shared" ca="1" si="2"/>
        <v>16</v>
      </c>
      <c r="R119" s="17">
        <f t="shared" ca="1" si="3"/>
        <v>16</v>
      </c>
    </row>
    <row r="120" spans="2:18" x14ac:dyDescent="0.25">
      <c r="B120" t="s">
        <v>117</v>
      </c>
      <c r="C120">
        <f ca="1">SUMIF(Top!$W$5:$W$168,$B120,Top!X$5:X$167)+SUMIF(Mid!$W$5:$W$168,$B120,Mid!X$5:X$167)</f>
        <v>0</v>
      </c>
      <c r="D120">
        <f ca="1">SUMIF(Top!$W$5:$W$168,$B120,Top!Y$5:Y$167)+SUMIF(Mid!$W$5:$W$168,$B120,Mid!Y$5:Y$167)</f>
        <v>0</v>
      </c>
      <c r="E120">
        <f ca="1">SUMIF(Top!$W$5:$W$168,$B120,Top!Z$5:Z$167)+SUMIF(Mid!$W$5:$W$168,$B120,Mid!Z$5:Z$167)</f>
        <v>0</v>
      </c>
      <c r="F120">
        <f ca="1">SUMIF(Top!$W$5:$W$168,$B120,Top!AA$5:AA$167)+SUMIF(Mid!$W$5:$W$168,$B120,Mid!AA$5:AA$167)</f>
        <v>0</v>
      </c>
      <c r="G120">
        <f ca="1">SUMIF(Top!$W$5:$W$168,$B120,Top!AB$5:AB$167)+SUMIF(Mid!$W$5:$W$168,$B120,Mid!AB$5:AB$167)</f>
        <v>0</v>
      </c>
      <c r="H120">
        <f ca="1">SUMIF(Top!$W$5:$W$168,$B120,Top!AC$5:AC$167)+SUMIF(Mid!$W$5:$W$168,$B120,Mid!AC$5:AC$167)</f>
        <v>0</v>
      </c>
      <c r="I120">
        <f ca="1">SUMIF(Top!$W$5:$W$168,$B120,Top!AD$5:AD$167)+SUMIF(Mid!$W$5:$W$168,$B120,Mid!AD$5:AD$167)</f>
        <v>0</v>
      </c>
      <c r="J120">
        <f ca="1">SUMIF(Top!$W$5:$W$168,$B120,Top!AE$5:AE$167)+SUMIF(Mid!$W$5:$W$168,$B120,Mid!AE$5:AE$167)</f>
        <v>0</v>
      </c>
      <c r="K120">
        <f ca="1">SUMIF(Top!$W$5:$W$168,$B120,Top!AF$5:AF$167)+SUMIF(Mid!$W$5:$W$168,$B120,Mid!AF$5:AF$167)</f>
        <v>0</v>
      </c>
      <c r="L120">
        <f ca="1">SUMIF(Top!$W$5:$W$168,$B120,Top!AG$5:AG$167)+SUMIF(Mid!$W$5:$W$168,$B120,Mid!AG$5:AG$167)</f>
        <v>0</v>
      </c>
      <c r="M120">
        <f ca="1">SUMIF(Top!$W$5:$W$168,$B120,Top!AH$5:AH$167)+SUMIF(Mid!$W$5:$W$168,$B120,Mid!AH$5:AH$167)</f>
        <v>0</v>
      </c>
      <c r="N120">
        <f ca="1">SUMIF(Top!$W$5:$W$168,$B120,Top!AI$5:AI$167)+SUMIF(Mid!$W$5:$W$168,$B120,Mid!AI$5:AI$167)</f>
        <v>0</v>
      </c>
      <c r="O120">
        <f ca="1">SUMIF(Top!$W$5:$W$168,$B120,Top!AJ$5:AJ$167)+SUMIF(Mid!$W$5:$W$168,$B120,Mid!AJ$5:AJ$167)</f>
        <v>0</v>
      </c>
      <c r="P120">
        <f ca="1">SUMIF(Top!$W$5:$W$168,$B120,Top!AK$5:AK$167)+SUMIF(Mid!$W$5:$W$168,$B120,Mid!AK$5:AK$167)</f>
        <v>0</v>
      </c>
      <c r="Q120">
        <f t="shared" ca="1" si="2"/>
        <v>0</v>
      </c>
      <c r="R120" s="17">
        <f t="shared" ca="1" si="3"/>
        <v>0</v>
      </c>
    </row>
    <row r="121" spans="2:18" x14ac:dyDescent="0.25">
      <c r="B121" t="s">
        <v>120</v>
      </c>
      <c r="C121">
        <f ca="1">SUMIF(Top!$W$5:$W$168,$B121,Top!X$5:X$167)+SUMIF(Mid!$W$5:$W$168,$B121,Mid!X$5:X$167)</f>
        <v>0</v>
      </c>
      <c r="D121">
        <f ca="1">SUMIF(Top!$W$5:$W$168,$B121,Top!Y$5:Y$167)+SUMIF(Mid!$W$5:$W$168,$B121,Mid!Y$5:Y$167)</f>
        <v>16</v>
      </c>
      <c r="E121">
        <f ca="1">SUMIF(Top!$W$5:$W$168,$B121,Top!Z$5:Z$167)+SUMIF(Mid!$W$5:$W$168,$B121,Mid!Z$5:Z$167)</f>
        <v>4</v>
      </c>
      <c r="F121">
        <f ca="1">SUMIF(Top!$W$5:$W$168,$B121,Top!AA$5:AA$167)+SUMIF(Mid!$W$5:$W$168,$B121,Mid!AA$5:AA$167)</f>
        <v>3</v>
      </c>
      <c r="G121">
        <f ca="1">SUMIF(Top!$W$5:$W$168,$B121,Top!AB$5:AB$167)+SUMIF(Mid!$W$5:$W$168,$B121,Mid!AB$5:AB$167)</f>
        <v>0</v>
      </c>
      <c r="H121">
        <f ca="1">SUMIF(Top!$W$5:$W$168,$B121,Top!AC$5:AC$167)+SUMIF(Mid!$W$5:$W$168,$B121,Mid!AC$5:AC$167)</f>
        <v>0</v>
      </c>
      <c r="I121">
        <f ca="1">SUMIF(Top!$W$5:$W$168,$B121,Top!AD$5:AD$167)+SUMIF(Mid!$W$5:$W$168,$B121,Mid!AD$5:AD$167)</f>
        <v>0</v>
      </c>
      <c r="J121">
        <f ca="1">SUMIF(Top!$W$5:$W$168,$B121,Top!AE$5:AE$167)+SUMIF(Mid!$W$5:$W$168,$B121,Mid!AE$5:AE$167)</f>
        <v>0</v>
      </c>
      <c r="K121">
        <f ca="1">SUMIF(Top!$W$5:$W$168,$B121,Top!AF$5:AF$167)+SUMIF(Mid!$W$5:$W$168,$B121,Mid!AF$5:AF$167)</f>
        <v>0</v>
      </c>
      <c r="L121">
        <f ca="1">SUMIF(Top!$W$5:$W$168,$B121,Top!AG$5:AG$167)+SUMIF(Mid!$W$5:$W$168,$B121,Mid!AG$5:AG$167)</f>
        <v>0</v>
      </c>
      <c r="M121">
        <f ca="1">SUMIF(Top!$W$5:$W$168,$B121,Top!AH$5:AH$167)+SUMIF(Mid!$W$5:$W$168,$B121,Mid!AH$5:AH$167)</f>
        <v>0</v>
      </c>
      <c r="N121">
        <f ca="1">SUMIF(Top!$W$5:$W$168,$B121,Top!AI$5:AI$167)+SUMIF(Mid!$W$5:$W$168,$B121,Mid!AI$5:AI$167)</f>
        <v>0</v>
      </c>
      <c r="O121">
        <f ca="1">SUMIF(Top!$W$5:$W$168,$B121,Top!AJ$5:AJ$167)+SUMIF(Mid!$W$5:$W$168,$B121,Mid!AJ$5:AJ$167)</f>
        <v>0</v>
      </c>
      <c r="P121">
        <f ca="1">SUMIF(Top!$W$5:$W$168,$B121,Top!AK$5:AK$167)+SUMIF(Mid!$W$5:$W$168,$B121,Mid!AK$5:AK$167)</f>
        <v>0</v>
      </c>
      <c r="Q121">
        <f t="shared" ca="1" si="2"/>
        <v>23</v>
      </c>
      <c r="R121" s="17">
        <f t="shared" ca="1" si="3"/>
        <v>7.666666666666667</v>
      </c>
    </row>
    <row r="122" spans="2:18" x14ac:dyDescent="0.25">
      <c r="B122" t="s">
        <v>121</v>
      </c>
      <c r="C122">
        <f ca="1">SUMIF(Top!$W$5:$W$168,$B122,Top!X$5:X$167)+SUMIF(Mid!$W$5:$W$168,$B122,Mid!X$5:X$167)</f>
        <v>0</v>
      </c>
      <c r="D122">
        <f ca="1">SUMIF(Top!$W$5:$W$168,$B122,Top!Y$5:Y$167)+SUMIF(Mid!$W$5:$W$168,$B122,Mid!Y$5:Y$167)</f>
        <v>0</v>
      </c>
      <c r="E122">
        <f ca="1">SUMIF(Top!$W$5:$W$168,$B122,Top!Z$5:Z$167)+SUMIF(Mid!$W$5:$W$168,$B122,Mid!Z$5:Z$167)</f>
        <v>0</v>
      </c>
      <c r="F122">
        <f ca="1">SUMIF(Top!$W$5:$W$168,$B122,Top!AA$5:AA$167)+SUMIF(Mid!$W$5:$W$168,$B122,Mid!AA$5:AA$167)</f>
        <v>0</v>
      </c>
      <c r="G122">
        <f ca="1">SUMIF(Top!$W$5:$W$168,$B122,Top!AB$5:AB$167)+SUMIF(Mid!$W$5:$W$168,$B122,Mid!AB$5:AB$167)</f>
        <v>0</v>
      </c>
      <c r="H122">
        <f ca="1">SUMIF(Top!$W$5:$W$168,$B122,Top!AC$5:AC$167)+SUMIF(Mid!$W$5:$W$168,$B122,Mid!AC$5:AC$167)</f>
        <v>0</v>
      </c>
      <c r="I122">
        <f ca="1">SUMIF(Top!$W$5:$W$168,$B122,Top!AD$5:AD$167)+SUMIF(Mid!$W$5:$W$168,$B122,Mid!AD$5:AD$167)</f>
        <v>0</v>
      </c>
      <c r="J122">
        <f ca="1">SUMIF(Top!$W$5:$W$168,$B122,Top!AE$5:AE$167)+SUMIF(Mid!$W$5:$W$168,$B122,Mid!AE$5:AE$167)</f>
        <v>0</v>
      </c>
      <c r="K122">
        <f ca="1">SUMIF(Top!$W$5:$W$168,$B122,Top!AF$5:AF$167)+SUMIF(Mid!$W$5:$W$168,$B122,Mid!AF$5:AF$167)</f>
        <v>0</v>
      </c>
      <c r="L122">
        <f ca="1">SUMIF(Top!$W$5:$W$168,$B122,Top!AG$5:AG$167)+SUMIF(Mid!$W$5:$W$168,$B122,Mid!AG$5:AG$167)</f>
        <v>0</v>
      </c>
      <c r="M122">
        <f ca="1">SUMIF(Top!$W$5:$W$168,$B122,Top!AH$5:AH$167)+SUMIF(Mid!$W$5:$W$168,$B122,Mid!AH$5:AH$167)</f>
        <v>0</v>
      </c>
      <c r="N122">
        <f ca="1">SUMIF(Top!$W$5:$W$168,$B122,Top!AI$5:AI$167)+SUMIF(Mid!$W$5:$W$168,$B122,Mid!AI$5:AI$167)</f>
        <v>0</v>
      </c>
      <c r="O122">
        <f ca="1">SUMIF(Top!$W$5:$W$168,$B122,Top!AJ$5:AJ$167)+SUMIF(Mid!$W$5:$W$168,$B122,Mid!AJ$5:AJ$167)</f>
        <v>0</v>
      </c>
      <c r="P122">
        <f ca="1">SUMIF(Top!$W$5:$W$168,$B122,Top!AK$5:AK$167)+SUMIF(Mid!$W$5:$W$168,$B122,Mid!AK$5:AK$167)</f>
        <v>0</v>
      </c>
      <c r="Q122">
        <f t="shared" ca="1" si="2"/>
        <v>0</v>
      </c>
      <c r="R122" s="17">
        <f t="shared" ca="1" si="3"/>
        <v>0</v>
      </c>
    </row>
    <row r="123" spans="2:18" x14ac:dyDescent="0.25">
      <c r="B123" t="s">
        <v>123</v>
      </c>
      <c r="C123">
        <f ca="1">SUMIF(Top!$W$5:$W$168,$B123,Top!X$5:X$167)+SUMIF(Mid!$W$5:$W$168,$B123,Mid!X$5:X$167)</f>
        <v>0</v>
      </c>
      <c r="D123">
        <f ca="1">SUMIF(Top!$W$5:$W$168,$B123,Top!Y$5:Y$167)+SUMIF(Mid!$W$5:$W$168,$B123,Mid!Y$5:Y$167)</f>
        <v>0</v>
      </c>
      <c r="E123">
        <f ca="1">SUMIF(Top!$W$5:$W$168,$B123,Top!Z$5:Z$167)+SUMIF(Mid!$W$5:$W$168,$B123,Mid!Z$5:Z$167)</f>
        <v>0</v>
      </c>
      <c r="F123">
        <f ca="1">SUMIF(Top!$W$5:$W$168,$B123,Top!AA$5:AA$167)+SUMIF(Mid!$W$5:$W$168,$B123,Mid!AA$5:AA$167)</f>
        <v>0</v>
      </c>
      <c r="G123">
        <f ca="1">SUMIF(Top!$W$5:$W$168,$B123,Top!AB$5:AB$167)+SUMIF(Mid!$W$5:$W$168,$B123,Mid!AB$5:AB$167)</f>
        <v>0</v>
      </c>
      <c r="H123">
        <f ca="1">SUMIF(Top!$W$5:$W$168,$B123,Top!AC$5:AC$167)+SUMIF(Mid!$W$5:$W$168,$B123,Mid!AC$5:AC$167)</f>
        <v>0</v>
      </c>
      <c r="I123">
        <f ca="1">SUMIF(Top!$W$5:$W$168,$B123,Top!AD$5:AD$167)+SUMIF(Mid!$W$5:$W$168,$B123,Mid!AD$5:AD$167)</f>
        <v>0</v>
      </c>
      <c r="J123">
        <f ca="1">SUMIF(Top!$W$5:$W$168,$B123,Top!AE$5:AE$167)+SUMIF(Mid!$W$5:$W$168,$B123,Mid!AE$5:AE$167)</f>
        <v>0</v>
      </c>
      <c r="K123">
        <f ca="1">SUMIF(Top!$W$5:$W$168,$B123,Top!AF$5:AF$167)+SUMIF(Mid!$W$5:$W$168,$B123,Mid!AF$5:AF$167)</f>
        <v>0</v>
      </c>
      <c r="L123">
        <f ca="1">SUMIF(Top!$W$5:$W$168,$B123,Top!AG$5:AG$167)+SUMIF(Mid!$W$5:$W$168,$B123,Mid!AG$5:AG$167)</f>
        <v>0</v>
      </c>
      <c r="M123">
        <f ca="1">SUMIF(Top!$W$5:$W$168,$B123,Top!AH$5:AH$167)+SUMIF(Mid!$W$5:$W$168,$B123,Mid!AH$5:AH$167)</f>
        <v>0</v>
      </c>
      <c r="N123">
        <f ca="1">SUMIF(Top!$W$5:$W$168,$B123,Top!AI$5:AI$167)+SUMIF(Mid!$W$5:$W$168,$B123,Mid!AI$5:AI$167)</f>
        <v>0</v>
      </c>
      <c r="O123">
        <f ca="1">SUMIF(Top!$W$5:$W$168,$B123,Top!AJ$5:AJ$167)+SUMIF(Mid!$W$5:$W$168,$B123,Mid!AJ$5:AJ$167)</f>
        <v>0</v>
      </c>
      <c r="P123">
        <f ca="1">SUMIF(Top!$W$5:$W$168,$B123,Top!AK$5:AK$167)+SUMIF(Mid!$W$5:$W$168,$B123,Mid!AK$5:AK$167)</f>
        <v>0</v>
      </c>
      <c r="Q123">
        <f t="shared" ca="1" si="2"/>
        <v>0</v>
      </c>
      <c r="R123" s="17">
        <f t="shared" ca="1" si="3"/>
        <v>0</v>
      </c>
    </row>
    <row r="124" spans="2:18" x14ac:dyDescent="0.25">
      <c r="B124" t="s">
        <v>124</v>
      </c>
      <c r="C124">
        <f ca="1">SUMIF(Top!$W$5:$W$168,$B124,Top!X$5:X$167)+SUMIF(Mid!$W$5:$W$168,$B124,Mid!X$5:X$167)</f>
        <v>0</v>
      </c>
      <c r="D124">
        <f ca="1">SUMIF(Top!$W$5:$W$168,$B124,Top!Y$5:Y$167)+SUMIF(Mid!$W$5:$W$168,$B124,Mid!Y$5:Y$167)</f>
        <v>0</v>
      </c>
      <c r="E124">
        <f ca="1">SUMIF(Top!$W$5:$W$168,$B124,Top!Z$5:Z$167)+SUMIF(Mid!$W$5:$W$168,$B124,Mid!Z$5:Z$167)</f>
        <v>0</v>
      </c>
      <c r="F124">
        <f ca="1">SUMIF(Top!$W$5:$W$168,$B124,Top!AA$5:AA$167)+SUMIF(Mid!$W$5:$W$168,$B124,Mid!AA$5:AA$167)</f>
        <v>0</v>
      </c>
      <c r="G124">
        <f ca="1">SUMIF(Top!$W$5:$W$168,$B124,Top!AB$5:AB$167)+SUMIF(Mid!$W$5:$W$168,$B124,Mid!AB$5:AB$167)</f>
        <v>0</v>
      </c>
      <c r="H124">
        <f ca="1">SUMIF(Top!$W$5:$W$168,$B124,Top!AC$5:AC$167)+SUMIF(Mid!$W$5:$W$168,$B124,Mid!AC$5:AC$167)</f>
        <v>0</v>
      </c>
      <c r="I124">
        <f ca="1">SUMIF(Top!$W$5:$W$168,$B124,Top!AD$5:AD$167)+SUMIF(Mid!$W$5:$W$168,$B124,Mid!AD$5:AD$167)</f>
        <v>0</v>
      </c>
      <c r="J124">
        <f ca="1">SUMIF(Top!$W$5:$W$168,$B124,Top!AE$5:AE$167)+SUMIF(Mid!$W$5:$W$168,$B124,Mid!AE$5:AE$167)</f>
        <v>0</v>
      </c>
      <c r="K124">
        <f ca="1">SUMIF(Top!$W$5:$W$168,$B124,Top!AF$5:AF$167)+SUMIF(Mid!$W$5:$W$168,$B124,Mid!AF$5:AF$167)</f>
        <v>0</v>
      </c>
      <c r="L124">
        <f ca="1">SUMIF(Top!$W$5:$W$168,$B124,Top!AG$5:AG$167)+SUMIF(Mid!$W$5:$W$168,$B124,Mid!AG$5:AG$167)</f>
        <v>0</v>
      </c>
      <c r="M124">
        <f ca="1">SUMIF(Top!$W$5:$W$168,$B124,Top!AH$5:AH$167)+SUMIF(Mid!$W$5:$W$168,$B124,Mid!AH$5:AH$167)</f>
        <v>0</v>
      </c>
      <c r="N124">
        <f ca="1">SUMIF(Top!$W$5:$W$168,$B124,Top!AI$5:AI$167)+SUMIF(Mid!$W$5:$W$168,$B124,Mid!AI$5:AI$167)</f>
        <v>0</v>
      </c>
      <c r="O124">
        <f ca="1">SUMIF(Top!$W$5:$W$168,$B124,Top!AJ$5:AJ$167)+SUMIF(Mid!$W$5:$W$168,$B124,Mid!AJ$5:AJ$167)</f>
        <v>0</v>
      </c>
      <c r="P124">
        <f ca="1">SUMIF(Top!$W$5:$W$168,$B124,Top!AK$5:AK$167)+SUMIF(Mid!$W$5:$W$168,$B124,Mid!AK$5:AK$167)</f>
        <v>0</v>
      </c>
      <c r="Q124">
        <f t="shared" ca="1" si="2"/>
        <v>0</v>
      </c>
      <c r="R124" s="17">
        <f t="shared" ca="1" si="3"/>
        <v>0</v>
      </c>
    </row>
    <row r="125" spans="2:18" x14ac:dyDescent="0.25">
      <c r="B125" t="s">
        <v>125</v>
      </c>
      <c r="C125">
        <f ca="1">SUMIF(Top!$W$5:$W$168,$B125,Top!X$5:X$167)+SUMIF(Mid!$W$5:$W$168,$B125,Mid!X$5:X$167)</f>
        <v>0</v>
      </c>
      <c r="D125">
        <f ca="1">SUMIF(Top!$W$5:$W$168,$B125,Top!Y$5:Y$167)+SUMIF(Mid!$W$5:$W$168,$B125,Mid!Y$5:Y$167)</f>
        <v>0</v>
      </c>
      <c r="E125">
        <f ca="1">SUMIF(Top!$W$5:$W$168,$B125,Top!Z$5:Z$167)+SUMIF(Mid!$W$5:$W$168,$B125,Mid!Z$5:Z$167)</f>
        <v>0</v>
      </c>
      <c r="F125">
        <f ca="1">SUMIF(Top!$W$5:$W$168,$B125,Top!AA$5:AA$167)+SUMIF(Mid!$W$5:$W$168,$B125,Mid!AA$5:AA$167)</f>
        <v>0</v>
      </c>
      <c r="G125">
        <f ca="1">SUMIF(Top!$W$5:$W$168,$B125,Top!AB$5:AB$167)+SUMIF(Mid!$W$5:$W$168,$B125,Mid!AB$5:AB$167)</f>
        <v>0</v>
      </c>
      <c r="H125">
        <f ca="1">SUMIF(Top!$W$5:$W$168,$B125,Top!AC$5:AC$167)+SUMIF(Mid!$W$5:$W$168,$B125,Mid!AC$5:AC$167)</f>
        <v>0</v>
      </c>
      <c r="I125">
        <f ca="1">SUMIF(Top!$W$5:$W$168,$B125,Top!AD$5:AD$167)+SUMIF(Mid!$W$5:$W$168,$B125,Mid!AD$5:AD$167)</f>
        <v>0</v>
      </c>
      <c r="J125">
        <f ca="1">SUMIF(Top!$W$5:$W$168,$B125,Top!AE$5:AE$167)+SUMIF(Mid!$W$5:$W$168,$B125,Mid!AE$5:AE$167)</f>
        <v>0</v>
      </c>
      <c r="K125">
        <f ca="1">SUMIF(Top!$W$5:$W$168,$B125,Top!AF$5:AF$167)+SUMIF(Mid!$W$5:$W$168,$B125,Mid!AF$5:AF$167)</f>
        <v>0</v>
      </c>
      <c r="L125">
        <f ca="1">SUMIF(Top!$W$5:$W$168,$B125,Top!AG$5:AG$167)+SUMIF(Mid!$W$5:$W$168,$B125,Mid!AG$5:AG$167)</f>
        <v>0</v>
      </c>
      <c r="M125">
        <f ca="1">SUMIF(Top!$W$5:$W$168,$B125,Top!AH$5:AH$167)+SUMIF(Mid!$W$5:$W$168,$B125,Mid!AH$5:AH$167)</f>
        <v>0</v>
      </c>
      <c r="N125">
        <f ca="1">SUMIF(Top!$W$5:$W$168,$B125,Top!AI$5:AI$167)+SUMIF(Mid!$W$5:$W$168,$B125,Mid!AI$5:AI$167)</f>
        <v>0</v>
      </c>
      <c r="O125">
        <f ca="1">SUMIF(Top!$W$5:$W$168,$B125,Top!AJ$5:AJ$167)+SUMIF(Mid!$W$5:$W$168,$B125,Mid!AJ$5:AJ$167)</f>
        <v>0</v>
      </c>
      <c r="P125">
        <f ca="1">SUMIF(Top!$W$5:$W$168,$B125,Top!AK$5:AK$167)+SUMIF(Mid!$W$5:$W$168,$B125,Mid!AK$5:AK$167)</f>
        <v>0</v>
      </c>
      <c r="Q125">
        <f t="shared" ca="1" si="2"/>
        <v>0</v>
      </c>
      <c r="R125" s="17">
        <f t="shared" ca="1" si="3"/>
        <v>0</v>
      </c>
    </row>
    <row r="126" spans="2:18" x14ac:dyDescent="0.25">
      <c r="B126" t="s">
        <v>126</v>
      </c>
      <c r="C126">
        <f ca="1">SUMIF(Top!$W$5:$W$168,$B126,Top!X$5:X$167)+SUMIF(Mid!$W$5:$W$168,$B126,Mid!X$5:X$167)</f>
        <v>0</v>
      </c>
      <c r="D126">
        <f ca="1">SUMIF(Top!$W$5:$W$168,$B126,Top!Y$5:Y$167)+SUMIF(Mid!$W$5:$W$168,$B126,Mid!Y$5:Y$167)</f>
        <v>0</v>
      </c>
      <c r="E126">
        <f ca="1">SUMIF(Top!$W$5:$W$168,$B126,Top!Z$5:Z$167)+SUMIF(Mid!$W$5:$W$168,$B126,Mid!Z$5:Z$167)</f>
        <v>0</v>
      </c>
      <c r="F126">
        <f ca="1">SUMIF(Top!$W$5:$W$168,$B126,Top!AA$5:AA$167)+SUMIF(Mid!$W$5:$W$168,$B126,Mid!AA$5:AA$167)</f>
        <v>0</v>
      </c>
      <c r="G126">
        <f ca="1">SUMIF(Top!$W$5:$W$168,$B126,Top!AB$5:AB$167)+SUMIF(Mid!$W$5:$W$168,$B126,Mid!AB$5:AB$167)</f>
        <v>0</v>
      </c>
      <c r="H126">
        <f ca="1">SUMIF(Top!$W$5:$W$168,$B126,Top!AC$5:AC$167)+SUMIF(Mid!$W$5:$W$168,$B126,Mid!AC$5:AC$167)</f>
        <v>0</v>
      </c>
      <c r="I126">
        <f ca="1">SUMIF(Top!$W$5:$W$168,$B126,Top!AD$5:AD$167)+SUMIF(Mid!$W$5:$W$168,$B126,Mid!AD$5:AD$167)</f>
        <v>0</v>
      </c>
      <c r="J126">
        <f ca="1">SUMIF(Top!$W$5:$W$168,$B126,Top!AE$5:AE$167)+SUMIF(Mid!$W$5:$W$168,$B126,Mid!AE$5:AE$167)</f>
        <v>0</v>
      </c>
      <c r="K126">
        <f ca="1">SUMIF(Top!$W$5:$W$168,$B126,Top!AF$5:AF$167)+SUMIF(Mid!$W$5:$W$168,$B126,Mid!AF$5:AF$167)</f>
        <v>0</v>
      </c>
      <c r="L126">
        <f ca="1">SUMIF(Top!$W$5:$W$168,$B126,Top!AG$5:AG$167)+SUMIF(Mid!$W$5:$W$168,$B126,Mid!AG$5:AG$167)</f>
        <v>0</v>
      </c>
      <c r="M126">
        <f ca="1">SUMIF(Top!$W$5:$W$168,$B126,Top!AH$5:AH$167)+SUMIF(Mid!$W$5:$W$168,$B126,Mid!AH$5:AH$167)</f>
        <v>0</v>
      </c>
      <c r="N126">
        <f ca="1">SUMIF(Top!$W$5:$W$168,$B126,Top!AI$5:AI$167)+SUMIF(Mid!$W$5:$W$168,$B126,Mid!AI$5:AI$167)</f>
        <v>0</v>
      </c>
      <c r="O126">
        <f ca="1">SUMIF(Top!$W$5:$W$168,$B126,Top!AJ$5:AJ$167)+SUMIF(Mid!$W$5:$W$168,$B126,Mid!AJ$5:AJ$167)</f>
        <v>0</v>
      </c>
      <c r="P126">
        <f ca="1">SUMIF(Top!$W$5:$W$168,$B126,Top!AK$5:AK$167)+SUMIF(Mid!$W$5:$W$168,$B126,Mid!AK$5:AK$167)</f>
        <v>0</v>
      </c>
      <c r="Q126">
        <f t="shared" ca="1" si="2"/>
        <v>0</v>
      </c>
      <c r="R126" s="17">
        <f t="shared" ca="1" si="3"/>
        <v>0</v>
      </c>
    </row>
    <row r="127" spans="2:18" x14ac:dyDescent="0.25">
      <c r="B127" t="s">
        <v>127</v>
      </c>
      <c r="C127">
        <f ca="1">SUMIF(Top!$W$5:$W$168,$B127,Top!X$5:X$167)+SUMIF(Mid!$W$5:$W$168,$B127,Mid!X$5:X$167)</f>
        <v>0</v>
      </c>
      <c r="D127">
        <f ca="1">SUMIF(Top!$W$5:$W$168,$B127,Top!Y$5:Y$167)+SUMIF(Mid!$W$5:$W$168,$B127,Mid!Y$5:Y$167)</f>
        <v>0</v>
      </c>
      <c r="E127">
        <f ca="1">SUMIF(Top!$W$5:$W$168,$B127,Top!Z$5:Z$167)+SUMIF(Mid!$W$5:$W$168,$B127,Mid!Z$5:Z$167)</f>
        <v>0</v>
      </c>
      <c r="F127">
        <f ca="1">SUMIF(Top!$W$5:$W$168,$B127,Top!AA$5:AA$167)+SUMIF(Mid!$W$5:$W$168,$B127,Mid!AA$5:AA$167)</f>
        <v>0</v>
      </c>
      <c r="G127">
        <f ca="1">SUMIF(Top!$W$5:$W$168,$B127,Top!AB$5:AB$167)+SUMIF(Mid!$W$5:$W$168,$B127,Mid!AB$5:AB$167)</f>
        <v>0</v>
      </c>
      <c r="H127">
        <f ca="1">SUMIF(Top!$W$5:$W$168,$B127,Top!AC$5:AC$167)+SUMIF(Mid!$W$5:$W$168,$B127,Mid!AC$5:AC$167)</f>
        <v>0</v>
      </c>
      <c r="I127">
        <f ca="1">SUMIF(Top!$W$5:$W$168,$B127,Top!AD$5:AD$167)+SUMIF(Mid!$W$5:$W$168,$B127,Mid!AD$5:AD$167)</f>
        <v>0</v>
      </c>
      <c r="J127">
        <f ca="1">SUMIF(Top!$W$5:$W$168,$B127,Top!AE$5:AE$167)+SUMIF(Mid!$W$5:$W$168,$B127,Mid!AE$5:AE$167)</f>
        <v>0</v>
      </c>
      <c r="K127">
        <f ca="1">SUMIF(Top!$W$5:$W$168,$B127,Top!AF$5:AF$167)+SUMIF(Mid!$W$5:$W$168,$B127,Mid!AF$5:AF$167)</f>
        <v>0</v>
      </c>
      <c r="L127">
        <f ca="1">SUMIF(Top!$W$5:$W$168,$B127,Top!AG$5:AG$167)+SUMIF(Mid!$W$5:$W$168,$B127,Mid!AG$5:AG$167)</f>
        <v>0</v>
      </c>
      <c r="M127">
        <f ca="1">SUMIF(Top!$W$5:$W$168,$B127,Top!AH$5:AH$167)+SUMIF(Mid!$W$5:$W$168,$B127,Mid!AH$5:AH$167)</f>
        <v>0</v>
      </c>
      <c r="N127">
        <f ca="1">SUMIF(Top!$W$5:$W$168,$B127,Top!AI$5:AI$167)+SUMIF(Mid!$W$5:$W$168,$B127,Mid!AI$5:AI$167)</f>
        <v>0</v>
      </c>
      <c r="O127">
        <f ca="1">SUMIF(Top!$W$5:$W$168,$B127,Top!AJ$5:AJ$167)+SUMIF(Mid!$W$5:$W$168,$B127,Mid!AJ$5:AJ$167)</f>
        <v>0</v>
      </c>
      <c r="P127">
        <f ca="1">SUMIF(Top!$W$5:$W$168,$B127,Top!AK$5:AK$167)+SUMIF(Mid!$W$5:$W$168,$B127,Mid!AK$5:AK$167)</f>
        <v>0</v>
      </c>
      <c r="Q127">
        <f t="shared" ca="1" si="2"/>
        <v>0</v>
      </c>
      <c r="R127" s="17">
        <f t="shared" ca="1" si="3"/>
        <v>0</v>
      </c>
    </row>
    <row r="128" spans="2:18" x14ac:dyDescent="0.25">
      <c r="B128" t="s">
        <v>130</v>
      </c>
      <c r="C128">
        <f ca="1">SUMIF(Top!$W$5:$W$168,$B128,Top!X$5:X$167)+SUMIF(Mid!$W$5:$W$168,$B128,Mid!X$5:X$167)</f>
        <v>0</v>
      </c>
      <c r="D128">
        <f ca="1">SUMIF(Top!$W$5:$W$168,$B128,Top!Y$5:Y$167)+SUMIF(Mid!$W$5:$W$168,$B128,Mid!Y$5:Y$167)</f>
        <v>0</v>
      </c>
      <c r="E128">
        <f ca="1">SUMIF(Top!$W$5:$W$168,$B128,Top!Z$5:Z$167)+SUMIF(Mid!$W$5:$W$168,$B128,Mid!Z$5:Z$167)</f>
        <v>0</v>
      </c>
      <c r="F128">
        <f ca="1">SUMIF(Top!$W$5:$W$168,$B128,Top!AA$5:AA$167)+SUMIF(Mid!$W$5:$W$168,$B128,Mid!AA$5:AA$167)</f>
        <v>0</v>
      </c>
      <c r="G128">
        <f ca="1">SUMIF(Top!$W$5:$W$168,$B128,Top!AB$5:AB$167)+SUMIF(Mid!$W$5:$W$168,$B128,Mid!AB$5:AB$167)</f>
        <v>0</v>
      </c>
      <c r="H128">
        <f ca="1">SUMIF(Top!$W$5:$W$168,$B128,Top!AC$5:AC$167)+SUMIF(Mid!$W$5:$W$168,$B128,Mid!AC$5:AC$167)</f>
        <v>0</v>
      </c>
      <c r="I128">
        <f ca="1">SUMIF(Top!$W$5:$W$168,$B128,Top!AD$5:AD$167)+SUMIF(Mid!$W$5:$W$168,$B128,Mid!AD$5:AD$167)</f>
        <v>0</v>
      </c>
      <c r="J128">
        <f ca="1">SUMIF(Top!$W$5:$W$168,$B128,Top!AE$5:AE$167)+SUMIF(Mid!$W$5:$W$168,$B128,Mid!AE$5:AE$167)</f>
        <v>0</v>
      </c>
      <c r="K128">
        <f ca="1">SUMIF(Top!$W$5:$W$168,$B128,Top!AF$5:AF$167)+SUMIF(Mid!$W$5:$W$168,$B128,Mid!AF$5:AF$167)</f>
        <v>0</v>
      </c>
      <c r="L128">
        <f ca="1">SUMIF(Top!$W$5:$W$168,$B128,Top!AG$5:AG$167)+SUMIF(Mid!$W$5:$W$168,$B128,Mid!AG$5:AG$167)</f>
        <v>0</v>
      </c>
      <c r="M128">
        <f ca="1">SUMIF(Top!$W$5:$W$168,$B128,Top!AH$5:AH$167)+SUMIF(Mid!$W$5:$W$168,$B128,Mid!AH$5:AH$167)</f>
        <v>0</v>
      </c>
      <c r="N128">
        <f ca="1">SUMIF(Top!$W$5:$W$168,$B128,Top!AI$5:AI$167)+SUMIF(Mid!$W$5:$W$168,$B128,Mid!AI$5:AI$167)</f>
        <v>0</v>
      </c>
      <c r="O128">
        <f ca="1">SUMIF(Top!$W$5:$W$168,$B128,Top!AJ$5:AJ$167)+SUMIF(Mid!$W$5:$W$168,$B128,Mid!AJ$5:AJ$167)</f>
        <v>0</v>
      </c>
      <c r="P128">
        <f ca="1">SUMIF(Top!$W$5:$W$168,$B128,Top!AK$5:AK$167)+SUMIF(Mid!$W$5:$W$168,$B128,Mid!AK$5:AK$167)</f>
        <v>0</v>
      </c>
      <c r="Q128">
        <f t="shared" ca="1" si="2"/>
        <v>0</v>
      </c>
      <c r="R128" s="17">
        <f t="shared" ca="1" si="3"/>
        <v>0</v>
      </c>
    </row>
    <row r="129" spans="2:18" x14ac:dyDescent="0.25">
      <c r="B129" t="s">
        <v>131</v>
      </c>
      <c r="C129">
        <f ca="1">SUMIF(Top!$W$5:$W$168,$B129,Top!X$5:X$167)+SUMIF(Mid!$W$5:$W$168,$B129,Mid!X$5:X$167)</f>
        <v>0</v>
      </c>
      <c r="D129">
        <f ca="1">SUMIF(Top!$W$5:$W$168,$B129,Top!Y$5:Y$167)+SUMIF(Mid!$W$5:$W$168,$B129,Mid!Y$5:Y$167)</f>
        <v>0</v>
      </c>
      <c r="E129">
        <f ca="1">SUMIF(Top!$W$5:$W$168,$B129,Top!Z$5:Z$167)+SUMIF(Mid!$W$5:$W$168,$B129,Mid!Z$5:Z$167)</f>
        <v>0</v>
      </c>
      <c r="F129">
        <f ca="1">SUMIF(Top!$W$5:$W$168,$B129,Top!AA$5:AA$167)+SUMIF(Mid!$W$5:$W$168,$B129,Mid!AA$5:AA$167)</f>
        <v>0</v>
      </c>
      <c r="G129">
        <f ca="1">SUMIF(Top!$W$5:$W$168,$B129,Top!AB$5:AB$167)+SUMIF(Mid!$W$5:$W$168,$B129,Mid!AB$5:AB$167)</f>
        <v>0</v>
      </c>
      <c r="H129">
        <f ca="1">SUMIF(Top!$W$5:$W$168,$B129,Top!AC$5:AC$167)+SUMIF(Mid!$W$5:$W$168,$B129,Mid!AC$5:AC$167)</f>
        <v>0</v>
      </c>
      <c r="I129">
        <f ca="1">SUMIF(Top!$W$5:$W$168,$B129,Top!AD$5:AD$167)+SUMIF(Mid!$W$5:$W$168,$B129,Mid!AD$5:AD$167)</f>
        <v>0</v>
      </c>
      <c r="J129">
        <f ca="1">SUMIF(Top!$W$5:$W$168,$B129,Top!AE$5:AE$167)+SUMIF(Mid!$W$5:$W$168,$B129,Mid!AE$5:AE$167)</f>
        <v>0</v>
      </c>
      <c r="K129">
        <f ca="1">SUMIF(Top!$W$5:$W$168,$B129,Top!AF$5:AF$167)+SUMIF(Mid!$W$5:$W$168,$B129,Mid!AF$5:AF$167)</f>
        <v>0</v>
      </c>
      <c r="L129">
        <f ca="1">SUMIF(Top!$W$5:$W$168,$B129,Top!AG$5:AG$167)+SUMIF(Mid!$W$5:$W$168,$B129,Mid!AG$5:AG$167)</f>
        <v>0</v>
      </c>
      <c r="M129">
        <f ca="1">SUMIF(Top!$W$5:$W$168,$B129,Top!AH$5:AH$167)+SUMIF(Mid!$W$5:$W$168,$B129,Mid!AH$5:AH$167)</f>
        <v>0</v>
      </c>
      <c r="N129">
        <f ca="1">SUMIF(Top!$W$5:$W$168,$B129,Top!AI$5:AI$167)+SUMIF(Mid!$W$5:$W$168,$B129,Mid!AI$5:AI$167)</f>
        <v>0</v>
      </c>
      <c r="O129">
        <f ca="1">SUMIF(Top!$W$5:$W$168,$B129,Top!AJ$5:AJ$167)+SUMIF(Mid!$W$5:$W$168,$B129,Mid!AJ$5:AJ$167)</f>
        <v>0</v>
      </c>
      <c r="P129">
        <f ca="1">SUMIF(Top!$W$5:$W$168,$B129,Top!AK$5:AK$167)+SUMIF(Mid!$W$5:$W$168,$B129,Mid!AK$5:AK$167)</f>
        <v>0</v>
      </c>
      <c r="Q129">
        <f t="shared" ca="1" si="2"/>
        <v>0</v>
      </c>
      <c r="R129" s="17">
        <f t="shared" ca="1" si="3"/>
        <v>0</v>
      </c>
    </row>
    <row r="130" spans="2:18" x14ac:dyDescent="0.25">
      <c r="B130" t="s">
        <v>132</v>
      </c>
      <c r="C130">
        <f ca="1">SUMIF(Top!$W$5:$W$168,$B130,Top!X$5:X$167)+SUMIF(Mid!$W$5:$W$168,$B130,Mid!X$5:X$167)</f>
        <v>0</v>
      </c>
      <c r="D130">
        <f ca="1">SUMIF(Top!$W$5:$W$168,$B130,Top!Y$5:Y$167)+SUMIF(Mid!$W$5:$W$168,$B130,Mid!Y$5:Y$167)</f>
        <v>0</v>
      </c>
      <c r="E130">
        <f ca="1">SUMIF(Top!$W$5:$W$168,$B130,Top!Z$5:Z$167)+SUMIF(Mid!$W$5:$W$168,$B130,Mid!Z$5:Z$167)</f>
        <v>0</v>
      </c>
      <c r="F130">
        <f ca="1">SUMIF(Top!$W$5:$W$168,$B130,Top!AA$5:AA$167)+SUMIF(Mid!$W$5:$W$168,$B130,Mid!AA$5:AA$167)</f>
        <v>0</v>
      </c>
      <c r="G130">
        <f ca="1">SUMIF(Top!$W$5:$W$168,$B130,Top!AB$5:AB$167)+SUMIF(Mid!$W$5:$W$168,$B130,Mid!AB$5:AB$167)</f>
        <v>0</v>
      </c>
      <c r="H130">
        <f ca="1">SUMIF(Top!$W$5:$W$168,$B130,Top!AC$5:AC$167)+SUMIF(Mid!$W$5:$W$168,$B130,Mid!AC$5:AC$167)</f>
        <v>0</v>
      </c>
      <c r="I130">
        <f ca="1">SUMIF(Top!$W$5:$W$168,$B130,Top!AD$5:AD$167)+SUMIF(Mid!$W$5:$W$168,$B130,Mid!AD$5:AD$167)</f>
        <v>0</v>
      </c>
      <c r="J130">
        <f ca="1">SUMIF(Top!$W$5:$W$168,$B130,Top!AE$5:AE$167)+SUMIF(Mid!$W$5:$W$168,$B130,Mid!AE$5:AE$167)</f>
        <v>0</v>
      </c>
      <c r="K130">
        <f ca="1">SUMIF(Top!$W$5:$W$168,$B130,Top!AF$5:AF$167)+SUMIF(Mid!$W$5:$W$168,$B130,Mid!AF$5:AF$167)</f>
        <v>0</v>
      </c>
      <c r="L130">
        <f ca="1">SUMIF(Top!$W$5:$W$168,$B130,Top!AG$5:AG$167)+SUMIF(Mid!$W$5:$W$168,$B130,Mid!AG$5:AG$167)</f>
        <v>0</v>
      </c>
      <c r="M130">
        <f ca="1">SUMIF(Top!$W$5:$W$168,$B130,Top!AH$5:AH$167)+SUMIF(Mid!$W$5:$W$168,$B130,Mid!AH$5:AH$167)</f>
        <v>0</v>
      </c>
      <c r="N130">
        <f ca="1">SUMIF(Top!$W$5:$W$168,$B130,Top!AI$5:AI$167)+SUMIF(Mid!$W$5:$W$168,$B130,Mid!AI$5:AI$167)</f>
        <v>0</v>
      </c>
      <c r="O130">
        <f ca="1">SUMIF(Top!$W$5:$W$168,$B130,Top!AJ$5:AJ$167)+SUMIF(Mid!$W$5:$W$168,$B130,Mid!AJ$5:AJ$167)</f>
        <v>0</v>
      </c>
      <c r="P130">
        <f ca="1">SUMIF(Top!$W$5:$W$168,$B130,Top!AK$5:AK$167)+SUMIF(Mid!$W$5:$W$168,$B130,Mid!AK$5:AK$167)</f>
        <v>0</v>
      </c>
      <c r="Q130">
        <f t="shared" ca="1" si="2"/>
        <v>0</v>
      </c>
      <c r="R130" s="17">
        <f t="shared" ca="1" si="3"/>
        <v>0</v>
      </c>
    </row>
    <row r="131" spans="2:18" x14ac:dyDescent="0.25">
      <c r="B131" t="s">
        <v>134</v>
      </c>
      <c r="C131">
        <f ca="1">SUMIF(Top!$W$5:$W$168,$B131,Top!X$5:X$167)+SUMIF(Mid!$W$5:$W$168,$B131,Mid!X$5:X$167)</f>
        <v>0</v>
      </c>
      <c r="D131">
        <f ca="1">SUMIF(Top!$W$5:$W$168,$B131,Top!Y$5:Y$167)+SUMIF(Mid!$W$5:$W$168,$B131,Mid!Y$5:Y$167)</f>
        <v>0</v>
      </c>
      <c r="E131">
        <f ca="1">SUMIF(Top!$W$5:$W$168,$B131,Top!Z$5:Z$167)+SUMIF(Mid!$W$5:$W$168,$B131,Mid!Z$5:Z$167)</f>
        <v>2</v>
      </c>
      <c r="F131">
        <f ca="1">SUMIF(Top!$W$5:$W$168,$B131,Top!AA$5:AA$167)+SUMIF(Mid!$W$5:$W$168,$B131,Mid!AA$5:AA$167)</f>
        <v>1</v>
      </c>
      <c r="G131">
        <f ca="1">SUMIF(Top!$W$5:$W$168,$B131,Top!AB$5:AB$167)+SUMIF(Mid!$W$5:$W$168,$B131,Mid!AB$5:AB$167)</f>
        <v>0</v>
      </c>
      <c r="H131">
        <f ca="1">SUMIF(Top!$W$5:$W$168,$B131,Top!AC$5:AC$167)+SUMIF(Mid!$W$5:$W$168,$B131,Mid!AC$5:AC$167)</f>
        <v>0</v>
      </c>
      <c r="I131">
        <f ca="1">SUMIF(Top!$W$5:$W$168,$B131,Top!AD$5:AD$167)+SUMIF(Mid!$W$5:$W$168,$B131,Mid!AD$5:AD$167)</f>
        <v>0</v>
      </c>
      <c r="J131">
        <f ca="1">SUMIF(Top!$W$5:$W$168,$B131,Top!AE$5:AE$167)+SUMIF(Mid!$W$5:$W$168,$B131,Mid!AE$5:AE$167)</f>
        <v>0</v>
      </c>
      <c r="K131">
        <f ca="1">SUMIF(Top!$W$5:$W$168,$B131,Top!AF$5:AF$167)+SUMIF(Mid!$W$5:$W$168,$B131,Mid!AF$5:AF$167)</f>
        <v>0</v>
      </c>
      <c r="L131">
        <f ca="1">SUMIF(Top!$W$5:$W$168,$B131,Top!AG$5:AG$167)+SUMIF(Mid!$W$5:$W$168,$B131,Mid!AG$5:AG$167)</f>
        <v>0</v>
      </c>
      <c r="M131">
        <f ca="1">SUMIF(Top!$W$5:$W$168,$B131,Top!AH$5:AH$167)+SUMIF(Mid!$W$5:$W$168,$B131,Mid!AH$5:AH$167)</f>
        <v>0</v>
      </c>
      <c r="N131">
        <f ca="1">SUMIF(Top!$W$5:$W$168,$B131,Top!AI$5:AI$167)+SUMIF(Mid!$W$5:$W$168,$B131,Mid!AI$5:AI$167)</f>
        <v>0</v>
      </c>
      <c r="O131">
        <f ca="1">SUMIF(Top!$W$5:$W$168,$B131,Top!AJ$5:AJ$167)+SUMIF(Mid!$W$5:$W$168,$B131,Mid!AJ$5:AJ$167)</f>
        <v>0</v>
      </c>
      <c r="P131">
        <f ca="1">SUMIF(Top!$W$5:$W$168,$B131,Top!AK$5:AK$167)+SUMIF(Mid!$W$5:$W$168,$B131,Mid!AK$5:AK$167)</f>
        <v>0</v>
      </c>
      <c r="Q131">
        <f t="shared" ca="1" si="2"/>
        <v>3</v>
      </c>
      <c r="R131" s="17">
        <f t="shared" ca="1" si="3"/>
        <v>1.5</v>
      </c>
    </row>
    <row r="132" spans="2:18" x14ac:dyDescent="0.25">
      <c r="B132" t="s">
        <v>135</v>
      </c>
      <c r="C132">
        <f ca="1">SUMIF(Top!$W$5:$W$168,$B132,Top!X$5:X$167)+SUMIF(Mid!$W$5:$W$168,$B132,Mid!X$5:X$167)</f>
        <v>0</v>
      </c>
      <c r="D132">
        <f ca="1">SUMIF(Top!$W$5:$W$168,$B132,Top!Y$5:Y$167)+SUMIF(Mid!$W$5:$W$168,$B132,Mid!Y$5:Y$167)</f>
        <v>0</v>
      </c>
      <c r="E132">
        <f ca="1">SUMIF(Top!$W$5:$W$168,$B132,Top!Z$5:Z$167)+SUMIF(Mid!$W$5:$W$168,$B132,Mid!Z$5:Z$167)</f>
        <v>0</v>
      </c>
      <c r="F132">
        <f ca="1">SUMIF(Top!$W$5:$W$168,$B132,Top!AA$5:AA$167)+SUMIF(Mid!$W$5:$W$168,$B132,Mid!AA$5:AA$167)</f>
        <v>0</v>
      </c>
      <c r="G132">
        <f ca="1">SUMIF(Top!$W$5:$W$168,$B132,Top!AB$5:AB$167)+SUMIF(Mid!$W$5:$W$168,$B132,Mid!AB$5:AB$167)</f>
        <v>0</v>
      </c>
      <c r="H132">
        <f ca="1">SUMIF(Top!$W$5:$W$168,$B132,Top!AC$5:AC$167)+SUMIF(Mid!$W$5:$W$168,$B132,Mid!AC$5:AC$167)</f>
        <v>0</v>
      </c>
      <c r="I132">
        <f ca="1">SUMIF(Top!$W$5:$W$168,$B132,Top!AD$5:AD$167)+SUMIF(Mid!$W$5:$W$168,$B132,Mid!AD$5:AD$167)</f>
        <v>0</v>
      </c>
      <c r="J132">
        <f ca="1">SUMIF(Top!$W$5:$W$168,$B132,Top!AE$5:AE$167)+SUMIF(Mid!$W$5:$W$168,$B132,Mid!AE$5:AE$167)</f>
        <v>0</v>
      </c>
      <c r="K132">
        <f ca="1">SUMIF(Top!$W$5:$W$168,$B132,Top!AF$5:AF$167)+SUMIF(Mid!$W$5:$W$168,$B132,Mid!AF$5:AF$167)</f>
        <v>0</v>
      </c>
      <c r="L132">
        <f ca="1">SUMIF(Top!$W$5:$W$168,$B132,Top!AG$5:AG$167)+SUMIF(Mid!$W$5:$W$168,$B132,Mid!AG$5:AG$167)</f>
        <v>0</v>
      </c>
      <c r="M132">
        <f ca="1">SUMIF(Top!$W$5:$W$168,$B132,Top!AH$5:AH$167)+SUMIF(Mid!$W$5:$W$168,$B132,Mid!AH$5:AH$167)</f>
        <v>0</v>
      </c>
      <c r="N132">
        <f ca="1">SUMIF(Top!$W$5:$W$168,$B132,Top!AI$5:AI$167)+SUMIF(Mid!$W$5:$W$168,$B132,Mid!AI$5:AI$167)</f>
        <v>0</v>
      </c>
      <c r="O132">
        <f ca="1">SUMIF(Top!$W$5:$W$168,$B132,Top!AJ$5:AJ$167)+SUMIF(Mid!$W$5:$W$168,$B132,Mid!AJ$5:AJ$167)</f>
        <v>0</v>
      </c>
      <c r="P132">
        <f ca="1">SUMIF(Top!$W$5:$W$168,$B132,Top!AK$5:AK$167)+SUMIF(Mid!$W$5:$W$168,$B132,Mid!AK$5:AK$167)</f>
        <v>0</v>
      </c>
      <c r="Q132">
        <f t="shared" ca="1" si="2"/>
        <v>0</v>
      </c>
      <c r="R132" s="17">
        <f t="shared" ca="1" si="3"/>
        <v>0</v>
      </c>
    </row>
    <row r="133" spans="2:18" x14ac:dyDescent="0.25">
      <c r="B133" t="s">
        <v>137</v>
      </c>
      <c r="C133">
        <f ca="1">SUMIF(Top!$W$5:$W$168,$B133,Top!X$5:X$167)+SUMIF(Mid!$W$5:$W$168,$B133,Mid!X$5:X$167)</f>
        <v>0</v>
      </c>
      <c r="D133">
        <f ca="1">SUMIF(Top!$W$5:$W$168,$B133,Top!Y$5:Y$167)+SUMIF(Mid!$W$5:$W$168,$B133,Mid!Y$5:Y$167)</f>
        <v>0</v>
      </c>
      <c r="E133">
        <f ca="1">SUMIF(Top!$W$5:$W$168,$B133,Top!Z$5:Z$167)+SUMIF(Mid!$W$5:$W$168,$B133,Mid!Z$5:Z$167)</f>
        <v>0</v>
      </c>
      <c r="F133">
        <f ca="1">SUMIF(Top!$W$5:$W$168,$B133,Top!AA$5:AA$167)+SUMIF(Mid!$W$5:$W$168,$B133,Mid!AA$5:AA$167)</f>
        <v>0</v>
      </c>
      <c r="G133">
        <f ca="1">SUMIF(Top!$W$5:$W$168,$B133,Top!AB$5:AB$167)+SUMIF(Mid!$W$5:$W$168,$B133,Mid!AB$5:AB$167)</f>
        <v>0</v>
      </c>
      <c r="H133">
        <f ca="1">SUMIF(Top!$W$5:$W$168,$B133,Top!AC$5:AC$167)+SUMIF(Mid!$W$5:$W$168,$B133,Mid!AC$5:AC$167)</f>
        <v>0</v>
      </c>
      <c r="I133">
        <f ca="1">SUMIF(Top!$W$5:$W$168,$B133,Top!AD$5:AD$167)+SUMIF(Mid!$W$5:$W$168,$B133,Mid!AD$5:AD$167)</f>
        <v>0</v>
      </c>
      <c r="J133">
        <f ca="1">SUMIF(Top!$W$5:$W$168,$B133,Top!AE$5:AE$167)+SUMIF(Mid!$W$5:$W$168,$B133,Mid!AE$5:AE$167)</f>
        <v>0</v>
      </c>
      <c r="K133">
        <f ca="1">SUMIF(Top!$W$5:$W$168,$B133,Top!AF$5:AF$167)+SUMIF(Mid!$W$5:$W$168,$B133,Mid!AF$5:AF$167)</f>
        <v>0</v>
      </c>
      <c r="L133">
        <f ca="1">SUMIF(Top!$W$5:$W$168,$B133,Top!AG$5:AG$167)+SUMIF(Mid!$W$5:$W$168,$B133,Mid!AG$5:AG$167)</f>
        <v>0</v>
      </c>
      <c r="M133">
        <f ca="1">SUMIF(Top!$W$5:$W$168,$B133,Top!AH$5:AH$167)+SUMIF(Mid!$W$5:$W$168,$B133,Mid!AH$5:AH$167)</f>
        <v>0</v>
      </c>
      <c r="N133">
        <f ca="1">SUMIF(Top!$W$5:$W$168,$B133,Top!AI$5:AI$167)+SUMIF(Mid!$W$5:$W$168,$B133,Mid!AI$5:AI$167)</f>
        <v>0</v>
      </c>
      <c r="O133">
        <f ca="1">SUMIF(Top!$W$5:$W$168,$B133,Top!AJ$5:AJ$167)+SUMIF(Mid!$W$5:$W$168,$B133,Mid!AJ$5:AJ$167)</f>
        <v>0</v>
      </c>
      <c r="P133">
        <f ca="1">SUMIF(Top!$W$5:$W$168,$B133,Top!AK$5:AK$167)+SUMIF(Mid!$W$5:$W$168,$B133,Mid!AK$5:AK$167)</f>
        <v>0</v>
      </c>
      <c r="Q133">
        <f t="shared" ca="1" si="2"/>
        <v>0</v>
      </c>
      <c r="R133" s="17">
        <f t="shared" ca="1" si="3"/>
        <v>0</v>
      </c>
    </row>
    <row r="134" spans="2:18" x14ac:dyDescent="0.25">
      <c r="B134" t="s">
        <v>138</v>
      </c>
      <c r="C134">
        <f ca="1">SUMIF(Top!$W$5:$W$168,$B134,Top!X$5:X$167)+SUMIF(Mid!$W$5:$W$168,$B134,Mid!X$5:X$167)</f>
        <v>0</v>
      </c>
      <c r="D134">
        <f ca="1">SUMIF(Top!$W$5:$W$168,$B134,Top!Y$5:Y$167)+SUMIF(Mid!$W$5:$W$168,$B134,Mid!Y$5:Y$167)</f>
        <v>0</v>
      </c>
      <c r="E134">
        <f ca="1">SUMIF(Top!$W$5:$W$168,$B134,Top!Z$5:Z$167)+SUMIF(Mid!$W$5:$W$168,$B134,Mid!Z$5:Z$167)</f>
        <v>0</v>
      </c>
      <c r="F134">
        <f ca="1">SUMIF(Top!$W$5:$W$168,$B134,Top!AA$5:AA$167)+SUMIF(Mid!$W$5:$W$168,$B134,Mid!AA$5:AA$167)</f>
        <v>0</v>
      </c>
      <c r="G134">
        <f ca="1">SUMIF(Top!$W$5:$W$168,$B134,Top!AB$5:AB$167)+SUMIF(Mid!$W$5:$W$168,$B134,Mid!AB$5:AB$167)</f>
        <v>0</v>
      </c>
      <c r="H134">
        <f ca="1">SUMIF(Top!$W$5:$W$168,$B134,Top!AC$5:AC$167)+SUMIF(Mid!$W$5:$W$168,$B134,Mid!AC$5:AC$167)</f>
        <v>0</v>
      </c>
      <c r="I134">
        <f ca="1">SUMIF(Top!$W$5:$W$168,$B134,Top!AD$5:AD$167)+SUMIF(Mid!$W$5:$W$168,$B134,Mid!AD$5:AD$167)</f>
        <v>0</v>
      </c>
      <c r="J134">
        <f ca="1">SUMIF(Top!$W$5:$W$168,$B134,Top!AE$5:AE$167)+SUMIF(Mid!$W$5:$W$168,$B134,Mid!AE$5:AE$167)</f>
        <v>0</v>
      </c>
      <c r="K134">
        <f ca="1">SUMIF(Top!$W$5:$W$168,$B134,Top!AF$5:AF$167)+SUMIF(Mid!$W$5:$W$168,$B134,Mid!AF$5:AF$167)</f>
        <v>0</v>
      </c>
      <c r="L134">
        <f ca="1">SUMIF(Top!$W$5:$W$168,$B134,Top!AG$5:AG$167)+SUMIF(Mid!$W$5:$W$168,$B134,Mid!AG$5:AG$167)</f>
        <v>0</v>
      </c>
      <c r="M134">
        <f ca="1">SUMIF(Top!$W$5:$W$168,$B134,Top!AH$5:AH$167)+SUMIF(Mid!$W$5:$W$168,$B134,Mid!AH$5:AH$167)</f>
        <v>0</v>
      </c>
      <c r="N134">
        <f ca="1">SUMIF(Top!$W$5:$W$168,$B134,Top!AI$5:AI$167)+SUMIF(Mid!$W$5:$W$168,$B134,Mid!AI$5:AI$167)</f>
        <v>0</v>
      </c>
      <c r="O134">
        <f ca="1">SUMIF(Top!$W$5:$W$168,$B134,Top!AJ$5:AJ$167)+SUMIF(Mid!$W$5:$W$168,$B134,Mid!AJ$5:AJ$167)</f>
        <v>0</v>
      </c>
      <c r="P134">
        <f ca="1">SUMIF(Top!$W$5:$W$168,$B134,Top!AK$5:AK$167)+SUMIF(Mid!$W$5:$W$168,$B134,Mid!AK$5:AK$167)</f>
        <v>0</v>
      </c>
      <c r="Q134">
        <f t="shared" ca="1" si="2"/>
        <v>0</v>
      </c>
      <c r="R134" s="17">
        <f t="shared" ca="1" si="3"/>
        <v>0</v>
      </c>
    </row>
    <row r="135" spans="2:18" x14ac:dyDescent="0.25">
      <c r="B135" t="s">
        <v>139</v>
      </c>
      <c r="C135">
        <f ca="1">SUMIF(Top!$W$5:$W$168,$B135,Top!X$5:X$167)+SUMIF(Mid!$W$5:$W$168,$B135,Mid!X$5:X$167)</f>
        <v>0</v>
      </c>
      <c r="D135">
        <f ca="1">SUMIF(Top!$W$5:$W$168,$B135,Top!Y$5:Y$167)+SUMIF(Mid!$W$5:$W$168,$B135,Mid!Y$5:Y$167)</f>
        <v>0</v>
      </c>
      <c r="E135">
        <f ca="1">SUMIF(Top!$W$5:$W$168,$B135,Top!Z$5:Z$167)+SUMIF(Mid!$W$5:$W$168,$B135,Mid!Z$5:Z$167)</f>
        <v>0</v>
      </c>
      <c r="F135">
        <f ca="1">SUMIF(Top!$W$5:$W$168,$B135,Top!AA$5:AA$167)+SUMIF(Mid!$W$5:$W$168,$B135,Mid!AA$5:AA$167)</f>
        <v>0</v>
      </c>
      <c r="G135">
        <f ca="1">SUMIF(Top!$W$5:$W$168,$B135,Top!AB$5:AB$167)+SUMIF(Mid!$W$5:$W$168,$B135,Mid!AB$5:AB$167)</f>
        <v>0</v>
      </c>
      <c r="H135">
        <f ca="1">SUMIF(Top!$W$5:$W$168,$B135,Top!AC$5:AC$167)+SUMIF(Mid!$W$5:$W$168,$B135,Mid!AC$5:AC$167)</f>
        <v>0</v>
      </c>
      <c r="I135">
        <f ca="1">SUMIF(Top!$W$5:$W$168,$B135,Top!AD$5:AD$167)+SUMIF(Mid!$W$5:$W$168,$B135,Mid!AD$5:AD$167)</f>
        <v>0</v>
      </c>
      <c r="J135">
        <f ca="1">SUMIF(Top!$W$5:$W$168,$B135,Top!AE$5:AE$167)+SUMIF(Mid!$W$5:$W$168,$B135,Mid!AE$5:AE$167)</f>
        <v>0</v>
      </c>
      <c r="K135">
        <f ca="1">SUMIF(Top!$W$5:$W$168,$B135,Top!AF$5:AF$167)+SUMIF(Mid!$W$5:$W$168,$B135,Mid!AF$5:AF$167)</f>
        <v>0</v>
      </c>
      <c r="L135">
        <f ca="1">SUMIF(Top!$W$5:$W$168,$B135,Top!AG$5:AG$167)+SUMIF(Mid!$W$5:$W$168,$B135,Mid!AG$5:AG$167)</f>
        <v>0</v>
      </c>
      <c r="M135">
        <f ca="1">SUMIF(Top!$W$5:$W$168,$B135,Top!AH$5:AH$167)+SUMIF(Mid!$W$5:$W$168,$B135,Mid!AH$5:AH$167)</f>
        <v>0</v>
      </c>
      <c r="N135">
        <f ca="1">SUMIF(Top!$W$5:$W$168,$B135,Top!AI$5:AI$167)+SUMIF(Mid!$W$5:$W$168,$B135,Mid!AI$5:AI$167)</f>
        <v>0</v>
      </c>
      <c r="O135">
        <f ca="1">SUMIF(Top!$W$5:$W$168,$B135,Top!AJ$5:AJ$167)+SUMIF(Mid!$W$5:$W$168,$B135,Mid!AJ$5:AJ$167)</f>
        <v>0</v>
      </c>
      <c r="P135">
        <f ca="1">SUMIF(Top!$W$5:$W$168,$B135,Top!AK$5:AK$167)+SUMIF(Mid!$W$5:$W$168,$B135,Mid!AK$5:AK$167)</f>
        <v>0</v>
      </c>
      <c r="Q135">
        <f t="shared" ca="1" si="2"/>
        <v>0</v>
      </c>
      <c r="R135" s="17">
        <f t="shared" ca="1" si="3"/>
        <v>0</v>
      </c>
    </row>
    <row r="136" spans="2:18" x14ac:dyDescent="0.25">
      <c r="B136" t="s">
        <v>140</v>
      </c>
      <c r="C136">
        <f ca="1">SUMIF(Top!$W$5:$W$168,$B136,Top!X$5:X$167)+SUMIF(Mid!$W$5:$W$168,$B136,Mid!X$5:X$167)</f>
        <v>0</v>
      </c>
      <c r="D136">
        <f ca="1">SUMIF(Top!$W$5:$W$168,$B136,Top!Y$5:Y$167)+SUMIF(Mid!$W$5:$W$168,$B136,Mid!Y$5:Y$167)</f>
        <v>0</v>
      </c>
      <c r="E136">
        <f ca="1">SUMIF(Top!$W$5:$W$168,$B136,Top!Z$5:Z$167)+SUMIF(Mid!$W$5:$W$168,$B136,Mid!Z$5:Z$167)</f>
        <v>0</v>
      </c>
      <c r="F136">
        <f ca="1">SUMIF(Top!$W$5:$W$168,$B136,Top!AA$5:AA$167)+SUMIF(Mid!$W$5:$W$168,$B136,Mid!AA$5:AA$167)</f>
        <v>0</v>
      </c>
      <c r="G136">
        <f ca="1">SUMIF(Top!$W$5:$W$168,$B136,Top!AB$5:AB$167)+SUMIF(Mid!$W$5:$W$168,$B136,Mid!AB$5:AB$167)</f>
        <v>0</v>
      </c>
      <c r="H136">
        <f ca="1">SUMIF(Top!$W$5:$W$168,$B136,Top!AC$5:AC$167)+SUMIF(Mid!$W$5:$W$168,$B136,Mid!AC$5:AC$167)</f>
        <v>0</v>
      </c>
      <c r="I136">
        <f ca="1">SUMIF(Top!$W$5:$W$168,$B136,Top!AD$5:AD$167)+SUMIF(Mid!$W$5:$W$168,$B136,Mid!AD$5:AD$167)</f>
        <v>0</v>
      </c>
      <c r="J136">
        <f ca="1">SUMIF(Top!$W$5:$W$168,$B136,Top!AE$5:AE$167)+SUMIF(Mid!$W$5:$W$168,$B136,Mid!AE$5:AE$167)</f>
        <v>0</v>
      </c>
      <c r="K136">
        <f ca="1">SUMIF(Top!$W$5:$W$168,$B136,Top!AF$5:AF$167)+SUMIF(Mid!$W$5:$W$168,$B136,Mid!AF$5:AF$167)</f>
        <v>0</v>
      </c>
      <c r="L136">
        <f ca="1">SUMIF(Top!$W$5:$W$168,$B136,Top!AG$5:AG$167)+SUMIF(Mid!$W$5:$W$168,$B136,Mid!AG$5:AG$167)</f>
        <v>0</v>
      </c>
      <c r="M136">
        <f ca="1">SUMIF(Top!$W$5:$W$168,$B136,Top!AH$5:AH$167)+SUMIF(Mid!$W$5:$W$168,$B136,Mid!AH$5:AH$167)</f>
        <v>0</v>
      </c>
      <c r="N136">
        <f ca="1">SUMIF(Top!$W$5:$W$168,$B136,Top!AI$5:AI$167)+SUMIF(Mid!$W$5:$W$168,$B136,Mid!AI$5:AI$167)</f>
        <v>0</v>
      </c>
      <c r="O136">
        <f ca="1">SUMIF(Top!$W$5:$W$168,$B136,Top!AJ$5:AJ$167)+SUMIF(Mid!$W$5:$W$168,$B136,Mid!AJ$5:AJ$167)</f>
        <v>0</v>
      </c>
      <c r="P136">
        <f ca="1">SUMIF(Top!$W$5:$W$168,$B136,Top!AK$5:AK$167)+SUMIF(Mid!$W$5:$W$168,$B136,Mid!AK$5:AK$167)</f>
        <v>0</v>
      </c>
      <c r="Q136">
        <f t="shared" ca="1" si="2"/>
        <v>0</v>
      </c>
      <c r="R136" s="17">
        <f t="shared" ca="1" si="3"/>
        <v>0</v>
      </c>
    </row>
    <row r="137" spans="2:18" x14ac:dyDescent="0.25">
      <c r="B137" t="s">
        <v>141</v>
      </c>
      <c r="C137">
        <f ca="1">SUMIF(Top!$W$5:$W$168,$B137,Top!X$5:X$167)+SUMIF(Mid!$W$5:$W$168,$B137,Mid!X$5:X$167)</f>
        <v>0</v>
      </c>
      <c r="D137">
        <f ca="1">SUMIF(Top!$W$5:$W$168,$B137,Top!Y$5:Y$167)+SUMIF(Mid!$W$5:$W$168,$B137,Mid!Y$5:Y$167)</f>
        <v>0</v>
      </c>
      <c r="E137">
        <f ca="1">SUMIF(Top!$W$5:$W$168,$B137,Top!Z$5:Z$167)+SUMIF(Mid!$W$5:$W$168,$B137,Mid!Z$5:Z$167)</f>
        <v>0</v>
      </c>
      <c r="F137">
        <f ca="1">SUMIF(Top!$W$5:$W$168,$B137,Top!AA$5:AA$167)+SUMIF(Mid!$W$5:$W$168,$B137,Mid!AA$5:AA$167)</f>
        <v>0</v>
      </c>
      <c r="G137">
        <f ca="1">SUMIF(Top!$W$5:$W$168,$B137,Top!AB$5:AB$167)+SUMIF(Mid!$W$5:$W$168,$B137,Mid!AB$5:AB$167)</f>
        <v>0</v>
      </c>
      <c r="H137">
        <f ca="1">SUMIF(Top!$W$5:$W$168,$B137,Top!AC$5:AC$167)+SUMIF(Mid!$W$5:$W$168,$B137,Mid!AC$5:AC$167)</f>
        <v>0</v>
      </c>
      <c r="I137">
        <f ca="1">SUMIF(Top!$W$5:$W$168,$B137,Top!AD$5:AD$167)+SUMIF(Mid!$W$5:$W$168,$B137,Mid!AD$5:AD$167)</f>
        <v>0</v>
      </c>
      <c r="J137">
        <f ca="1">SUMIF(Top!$W$5:$W$168,$B137,Top!AE$5:AE$167)+SUMIF(Mid!$W$5:$W$168,$B137,Mid!AE$5:AE$167)</f>
        <v>0</v>
      </c>
      <c r="K137">
        <f ca="1">SUMIF(Top!$W$5:$W$168,$B137,Top!AF$5:AF$167)+SUMIF(Mid!$W$5:$W$168,$B137,Mid!AF$5:AF$167)</f>
        <v>0</v>
      </c>
      <c r="L137">
        <f ca="1">SUMIF(Top!$W$5:$W$168,$B137,Top!AG$5:AG$167)+SUMIF(Mid!$W$5:$W$168,$B137,Mid!AG$5:AG$167)</f>
        <v>0</v>
      </c>
      <c r="M137">
        <f ca="1">SUMIF(Top!$W$5:$W$168,$B137,Top!AH$5:AH$167)+SUMIF(Mid!$W$5:$W$168,$B137,Mid!AH$5:AH$167)</f>
        <v>0</v>
      </c>
      <c r="N137">
        <f ca="1">SUMIF(Top!$W$5:$W$168,$B137,Top!AI$5:AI$167)+SUMIF(Mid!$W$5:$W$168,$B137,Mid!AI$5:AI$167)</f>
        <v>0</v>
      </c>
      <c r="O137">
        <f ca="1">SUMIF(Top!$W$5:$W$168,$B137,Top!AJ$5:AJ$167)+SUMIF(Mid!$W$5:$W$168,$B137,Mid!AJ$5:AJ$167)</f>
        <v>0</v>
      </c>
      <c r="P137">
        <f ca="1">SUMIF(Top!$W$5:$W$168,$B137,Top!AK$5:AK$167)+SUMIF(Mid!$W$5:$W$168,$B137,Mid!AK$5:AK$167)</f>
        <v>0</v>
      </c>
      <c r="Q137">
        <f t="shared" ca="1" si="2"/>
        <v>0</v>
      </c>
      <c r="R137" s="17">
        <f t="shared" ca="1" si="3"/>
        <v>0</v>
      </c>
    </row>
    <row r="138" spans="2:18" x14ac:dyDescent="0.25">
      <c r="B138" t="s">
        <v>143</v>
      </c>
      <c r="C138">
        <f ca="1">SUMIF(Top!$W$5:$W$168,$B138,Top!X$5:X$167)+SUMIF(Mid!$W$5:$W$168,$B138,Mid!X$5:X$167)</f>
        <v>0</v>
      </c>
      <c r="D138">
        <f ca="1">SUMIF(Top!$W$5:$W$168,$B138,Top!Y$5:Y$167)+SUMIF(Mid!$W$5:$W$168,$B138,Mid!Y$5:Y$167)</f>
        <v>0</v>
      </c>
      <c r="E138">
        <f ca="1">SUMIF(Top!$W$5:$W$168,$B138,Top!Z$5:Z$167)+SUMIF(Mid!$W$5:$W$168,$B138,Mid!Z$5:Z$167)</f>
        <v>22</v>
      </c>
      <c r="F138">
        <f ca="1">SUMIF(Top!$W$5:$W$168,$B138,Top!AA$5:AA$167)+SUMIF(Mid!$W$5:$W$168,$B138,Mid!AA$5:AA$167)</f>
        <v>23</v>
      </c>
      <c r="G138">
        <f ca="1">SUMIF(Top!$W$5:$W$168,$B138,Top!AB$5:AB$167)+SUMIF(Mid!$W$5:$W$168,$B138,Mid!AB$5:AB$167)</f>
        <v>0</v>
      </c>
      <c r="H138">
        <f ca="1">SUMIF(Top!$W$5:$W$168,$B138,Top!AC$5:AC$167)+SUMIF(Mid!$W$5:$W$168,$B138,Mid!AC$5:AC$167)</f>
        <v>0</v>
      </c>
      <c r="I138">
        <f ca="1">SUMIF(Top!$W$5:$W$168,$B138,Top!AD$5:AD$167)+SUMIF(Mid!$W$5:$W$168,$B138,Mid!AD$5:AD$167)</f>
        <v>0</v>
      </c>
      <c r="J138">
        <f ca="1">SUMIF(Top!$W$5:$W$168,$B138,Top!AE$5:AE$167)+SUMIF(Mid!$W$5:$W$168,$B138,Mid!AE$5:AE$167)</f>
        <v>0</v>
      </c>
      <c r="K138">
        <f ca="1">SUMIF(Top!$W$5:$W$168,$B138,Top!AF$5:AF$167)+SUMIF(Mid!$W$5:$W$168,$B138,Mid!AF$5:AF$167)</f>
        <v>0</v>
      </c>
      <c r="L138">
        <f ca="1">SUMIF(Top!$W$5:$W$168,$B138,Top!AG$5:AG$167)+SUMIF(Mid!$W$5:$W$168,$B138,Mid!AG$5:AG$167)</f>
        <v>0</v>
      </c>
      <c r="M138">
        <f ca="1">SUMIF(Top!$W$5:$W$168,$B138,Top!AH$5:AH$167)+SUMIF(Mid!$W$5:$W$168,$B138,Mid!AH$5:AH$167)</f>
        <v>0</v>
      </c>
      <c r="N138">
        <f ca="1">SUMIF(Top!$W$5:$W$168,$B138,Top!AI$5:AI$167)+SUMIF(Mid!$W$5:$W$168,$B138,Mid!AI$5:AI$167)</f>
        <v>0</v>
      </c>
      <c r="O138">
        <f ca="1">SUMIF(Top!$W$5:$W$168,$B138,Top!AJ$5:AJ$167)+SUMIF(Mid!$W$5:$W$168,$B138,Mid!AJ$5:AJ$167)</f>
        <v>0</v>
      </c>
      <c r="P138">
        <f ca="1">SUMIF(Top!$W$5:$W$168,$B138,Top!AK$5:AK$167)+SUMIF(Mid!$W$5:$W$168,$B138,Mid!AK$5:AK$167)</f>
        <v>0</v>
      </c>
      <c r="Q138">
        <f t="shared" ca="1" si="2"/>
        <v>45</v>
      </c>
      <c r="R138" s="17">
        <f t="shared" ca="1" si="3"/>
        <v>22.5</v>
      </c>
    </row>
    <row r="139" spans="2:18" x14ac:dyDescent="0.25">
      <c r="B139" t="s">
        <v>144</v>
      </c>
      <c r="C139">
        <f ca="1">SUMIF(Top!$W$5:$W$168,$B139,Top!X$5:X$167)+SUMIF(Mid!$W$5:$W$168,$B139,Mid!X$5:X$167)</f>
        <v>0</v>
      </c>
      <c r="D139">
        <f ca="1">SUMIF(Top!$W$5:$W$168,$B139,Top!Y$5:Y$167)+SUMIF(Mid!$W$5:$W$168,$B139,Mid!Y$5:Y$167)</f>
        <v>0</v>
      </c>
      <c r="E139">
        <f ca="1">SUMIF(Top!$W$5:$W$168,$B139,Top!Z$5:Z$167)+SUMIF(Mid!$W$5:$W$168,$B139,Mid!Z$5:Z$167)</f>
        <v>0</v>
      </c>
      <c r="F139">
        <f ca="1">SUMIF(Top!$W$5:$W$168,$B139,Top!AA$5:AA$167)+SUMIF(Mid!$W$5:$W$168,$B139,Mid!AA$5:AA$167)</f>
        <v>0</v>
      </c>
      <c r="G139">
        <f ca="1">SUMIF(Top!$W$5:$W$168,$B139,Top!AB$5:AB$167)+SUMIF(Mid!$W$5:$W$168,$B139,Mid!AB$5:AB$167)</f>
        <v>0</v>
      </c>
      <c r="H139">
        <f ca="1">SUMIF(Top!$W$5:$W$168,$B139,Top!AC$5:AC$167)+SUMIF(Mid!$W$5:$W$168,$B139,Mid!AC$5:AC$167)</f>
        <v>0</v>
      </c>
      <c r="I139">
        <f ca="1">SUMIF(Top!$W$5:$W$168,$B139,Top!AD$5:AD$167)+SUMIF(Mid!$W$5:$W$168,$B139,Mid!AD$5:AD$167)</f>
        <v>0</v>
      </c>
      <c r="J139">
        <f ca="1">SUMIF(Top!$W$5:$W$168,$B139,Top!AE$5:AE$167)+SUMIF(Mid!$W$5:$W$168,$B139,Mid!AE$5:AE$167)</f>
        <v>0</v>
      </c>
      <c r="K139">
        <f ca="1">SUMIF(Top!$W$5:$W$168,$B139,Top!AF$5:AF$167)+SUMIF(Mid!$W$5:$W$168,$B139,Mid!AF$5:AF$167)</f>
        <v>0</v>
      </c>
      <c r="L139">
        <f ca="1">SUMIF(Top!$W$5:$W$168,$B139,Top!AG$5:AG$167)+SUMIF(Mid!$W$5:$W$168,$B139,Mid!AG$5:AG$167)</f>
        <v>0</v>
      </c>
      <c r="M139">
        <f ca="1">SUMIF(Top!$W$5:$W$168,$B139,Top!AH$5:AH$167)+SUMIF(Mid!$W$5:$W$168,$B139,Mid!AH$5:AH$167)</f>
        <v>0</v>
      </c>
      <c r="N139">
        <f ca="1">SUMIF(Top!$W$5:$W$168,$B139,Top!AI$5:AI$167)+SUMIF(Mid!$W$5:$W$168,$B139,Mid!AI$5:AI$167)</f>
        <v>0</v>
      </c>
      <c r="O139">
        <f ca="1">SUMIF(Top!$W$5:$W$168,$B139,Top!AJ$5:AJ$167)+SUMIF(Mid!$W$5:$W$168,$B139,Mid!AJ$5:AJ$167)</f>
        <v>0</v>
      </c>
      <c r="P139">
        <f ca="1">SUMIF(Top!$W$5:$W$168,$B139,Top!AK$5:AK$167)+SUMIF(Mid!$W$5:$W$168,$B139,Mid!AK$5:AK$167)</f>
        <v>0</v>
      </c>
      <c r="Q139">
        <f t="shared" ref="Q139:Q202" ca="1" si="4">SUM(C139:P139)</f>
        <v>0</v>
      </c>
      <c r="R139" s="17">
        <f t="shared" ref="R139:R202" ca="1" si="5">IF(Q139=0,0,Q139/COUNTIF(C139:P139,"&gt;0"))</f>
        <v>0</v>
      </c>
    </row>
    <row r="140" spans="2:18" x14ac:dyDescent="0.25">
      <c r="B140" t="s">
        <v>146</v>
      </c>
      <c r="C140">
        <f ca="1">SUMIF(Top!$W$5:$W$168,$B140,Top!X$5:X$167)+SUMIF(Mid!$W$5:$W$168,$B140,Mid!X$5:X$167)</f>
        <v>0</v>
      </c>
      <c r="D140">
        <f ca="1">SUMIF(Top!$W$5:$W$168,$B140,Top!Y$5:Y$167)+SUMIF(Mid!$W$5:$W$168,$B140,Mid!Y$5:Y$167)</f>
        <v>0</v>
      </c>
      <c r="E140">
        <f ca="1">SUMIF(Top!$W$5:$W$168,$B140,Top!Z$5:Z$167)+SUMIF(Mid!$W$5:$W$168,$B140,Mid!Z$5:Z$167)</f>
        <v>0</v>
      </c>
      <c r="F140">
        <f ca="1">SUMIF(Top!$W$5:$W$168,$B140,Top!AA$5:AA$167)+SUMIF(Mid!$W$5:$W$168,$B140,Mid!AA$5:AA$167)</f>
        <v>0</v>
      </c>
      <c r="G140">
        <f ca="1">SUMIF(Top!$W$5:$W$168,$B140,Top!AB$5:AB$167)+SUMIF(Mid!$W$5:$W$168,$B140,Mid!AB$5:AB$167)</f>
        <v>0</v>
      </c>
      <c r="H140">
        <f ca="1">SUMIF(Top!$W$5:$W$168,$B140,Top!AC$5:AC$167)+SUMIF(Mid!$W$5:$W$168,$B140,Mid!AC$5:AC$167)</f>
        <v>0</v>
      </c>
      <c r="I140">
        <f ca="1">SUMIF(Top!$W$5:$W$168,$B140,Top!AD$5:AD$167)+SUMIF(Mid!$W$5:$W$168,$B140,Mid!AD$5:AD$167)</f>
        <v>0</v>
      </c>
      <c r="J140">
        <f ca="1">SUMIF(Top!$W$5:$W$168,$B140,Top!AE$5:AE$167)+SUMIF(Mid!$W$5:$W$168,$B140,Mid!AE$5:AE$167)</f>
        <v>0</v>
      </c>
      <c r="K140">
        <f ca="1">SUMIF(Top!$W$5:$W$168,$B140,Top!AF$5:AF$167)+SUMIF(Mid!$W$5:$W$168,$B140,Mid!AF$5:AF$167)</f>
        <v>0</v>
      </c>
      <c r="L140">
        <f ca="1">SUMIF(Top!$W$5:$W$168,$B140,Top!AG$5:AG$167)+SUMIF(Mid!$W$5:$W$168,$B140,Mid!AG$5:AG$167)</f>
        <v>0</v>
      </c>
      <c r="M140">
        <f ca="1">SUMIF(Top!$W$5:$W$168,$B140,Top!AH$5:AH$167)+SUMIF(Mid!$W$5:$W$168,$B140,Mid!AH$5:AH$167)</f>
        <v>0</v>
      </c>
      <c r="N140">
        <f ca="1">SUMIF(Top!$W$5:$W$168,$B140,Top!AI$5:AI$167)+SUMIF(Mid!$W$5:$W$168,$B140,Mid!AI$5:AI$167)</f>
        <v>0</v>
      </c>
      <c r="O140">
        <f ca="1">SUMIF(Top!$W$5:$W$168,$B140,Top!AJ$5:AJ$167)+SUMIF(Mid!$W$5:$W$168,$B140,Mid!AJ$5:AJ$167)</f>
        <v>0</v>
      </c>
      <c r="P140">
        <f ca="1">SUMIF(Top!$W$5:$W$168,$B140,Top!AK$5:AK$167)+SUMIF(Mid!$W$5:$W$168,$B140,Mid!AK$5:AK$167)</f>
        <v>0</v>
      </c>
      <c r="Q140">
        <f t="shared" ca="1" si="4"/>
        <v>0</v>
      </c>
      <c r="R140" s="17">
        <f t="shared" ca="1" si="5"/>
        <v>0</v>
      </c>
    </row>
    <row r="141" spans="2:18" x14ac:dyDescent="0.25">
      <c r="B141" t="s">
        <v>147</v>
      </c>
      <c r="C141">
        <f ca="1">SUMIF(Top!$W$5:$W$168,$B141,Top!X$5:X$167)+SUMIF(Mid!$W$5:$W$168,$B141,Mid!X$5:X$167)</f>
        <v>0</v>
      </c>
      <c r="D141">
        <f ca="1">SUMIF(Top!$W$5:$W$168,$B141,Top!Y$5:Y$167)+SUMIF(Mid!$W$5:$W$168,$B141,Mid!Y$5:Y$167)</f>
        <v>0</v>
      </c>
      <c r="E141">
        <f ca="1">SUMIF(Top!$W$5:$W$168,$B141,Top!Z$5:Z$167)+SUMIF(Mid!$W$5:$W$168,$B141,Mid!Z$5:Z$167)</f>
        <v>0</v>
      </c>
      <c r="F141">
        <f ca="1">SUMIF(Top!$W$5:$W$168,$B141,Top!AA$5:AA$167)+SUMIF(Mid!$W$5:$W$168,$B141,Mid!AA$5:AA$167)</f>
        <v>0</v>
      </c>
      <c r="G141">
        <f ca="1">SUMIF(Top!$W$5:$W$168,$B141,Top!AB$5:AB$167)+SUMIF(Mid!$W$5:$W$168,$B141,Mid!AB$5:AB$167)</f>
        <v>0</v>
      </c>
      <c r="H141">
        <f ca="1">SUMIF(Top!$W$5:$W$168,$B141,Top!AC$5:AC$167)+SUMIF(Mid!$W$5:$W$168,$B141,Mid!AC$5:AC$167)</f>
        <v>0</v>
      </c>
      <c r="I141">
        <f ca="1">SUMIF(Top!$W$5:$W$168,$B141,Top!AD$5:AD$167)+SUMIF(Mid!$W$5:$W$168,$B141,Mid!AD$5:AD$167)</f>
        <v>0</v>
      </c>
      <c r="J141">
        <f ca="1">SUMIF(Top!$W$5:$W$168,$B141,Top!AE$5:AE$167)+SUMIF(Mid!$W$5:$W$168,$B141,Mid!AE$5:AE$167)</f>
        <v>0</v>
      </c>
      <c r="K141">
        <f ca="1">SUMIF(Top!$W$5:$W$168,$B141,Top!AF$5:AF$167)+SUMIF(Mid!$W$5:$W$168,$B141,Mid!AF$5:AF$167)</f>
        <v>0</v>
      </c>
      <c r="L141">
        <f ca="1">SUMIF(Top!$W$5:$W$168,$B141,Top!AG$5:AG$167)+SUMIF(Mid!$W$5:$W$168,$B141,Mid!AG$5:AG$167)</f>
        <v>0</v>
      </c>
      <c r="M141">
        <f ca="1">SUMIF(Top!$W$5:$W$168,$B141,Top!AH$5:AH$167)+SUMIF(Mid!$W$5:$W$168,$B141,Mid!AH$5:AH$167)</f>
        <v>0</v>
      </c>
      <c r="N141">
        <f ca="1">SUMIF(Top!$W$5:$W$168,$B141,Top!AI$5:AI$167)+SUMIF(Mid!$W$5:$W$168,$B141,Mid!AI$5:AI$167)</f>
        <v>0</v>
      </c>
      <c r="O141">
        <f ca="1">SUMIF(Top!$W$5:$W$168,$B141,Top!AJ$5:AJ$167)+SUMIF(Mid!$W$5:$W$168,$B141,Mid!AJ$5:AJ$167)</f>
        <v>0</v>
      </c>
      <c r="P141">
        <f ca="1">SUMIF(Top!$W$5:$W$168,$B141,Top!AK$5:AK$167)+SUMIF(Mid!$W$5:$W$168,$B141,Mid!AK$5:AK$167)</f>
        <v>0</v>
      </c>
      <c r="Q141">
        <f t="shared" ca="1" si="4"/>
        <v>0</v>
      </c>
      <c r="R141" s="17">
        <f t="shared" ca="1" si="5"/>
        <v>0</v>
      </c>
    </row>
    <row r="142" spans="2:18" x14ac:dyDescent="0.25">
      <c r="B142" t="s">
        <v>148</v>
      </c>
      <c r="C142">
        <f ca="1">SUMIF(Top!$W$5:$W$168,$B142,Top!X$5:X$167)+SUMIF(Mid!$W$5:$W$168,$B142,Mid!X$5:X$167)</f>
        <v>0</v>
      </c>
      <c r="D142">
        <f ca="1">SUMIF(Top!$W$5:$W$168,$B142,Top!Y$5:Y$167)+SUMIF(Mid!$W$5:$W$168,$B142,Mid!Y$5:Y$167)</f>
        <v>0</v>
      </c>
      <c r="E142">
        <f ca="1">SUMIF(Top!$W$5:$W$168,$B142,Top!Z$5:Z$167)+SUMIF(Mid!$W$5:$W$168,$B142,Mid!Z$5:Z$167)</f>
        <v>0</v>
      </c>
      <c r="F142">
        <f ca="1">SUMIF(Top!$W$5:$W$168,$B142,Top!AA$5:AA$167)+SUMIF(Mid!$W$5:$W$168,$B142,Mid!AA$5:AA$167)</f>
        <v>0</v>
      </c>
      <c r="G142">
        <f ca="1">SUMIF(Top!$W$5:$W$168,$B142,Top!AB$5:AB$167)+SUMIF(Mid!$W$5:$W$168,$B142,Mid!AB$5:AB$167)</f>
        <v>0</v>
      </c>
      <c r="H142">
        <f ca="1">SUMIF(Top!$W$5:$W$168,$B142,Top!AC$5:AC$167)+SUMIF(Mid!$W$5:$W$168,$B142,Mid!AC$5:AC$167)</f>
        <v>0</v>
      </c>
      <c r="I142">
        <f ca="1">SUMIF(Top!$W$5:$W$168,$B142,Top!AD$5:AD$167)+SUMIF(Mid!$W$5:$W$168,$B142,Mid!AD$5:AD$167)</f>
        <v>0</v>
      </c>
      <c r="J142">
        <f ca="1">SUMIF(Top!$W$5:$W$168,$B142,Top!AE$5:AE$167)+SUMIF(Mid!$W$5:$W$168,$B142,Mid!AE$5:AE$167)</f>
        <v>0</v>
      </c>
      <c r="K142">
        <f ca="1">SUMIF(Top!$W$5:$W$168,$B142,Top!AF$5:AF$167)+SUMIF(Mid!$W$5:$W$168,$B142,Mid!AF$5:AF$167)</f>
        <v>0</v>
      </c>
      <c r="L142">
        <f ca="1">SUMIF(Top!$W$5:$W$168,$B142,Top!AG$5:AG$167)+SUMIF(Mid!$W$5:$W$168,$B142,Mid!AG$5:AG$167)</f>
        <v>0</v>
      </c>
      <c r="M142">
        <f ca="1">SUMIF(Top!$W$5:$W$168,$B142,Top!AH$5:AH$167)+SUMIF(Mid!$W$5:$W$168,$B142,Mid!AH$5:AH$167)</f>
        <v>0</v>
      </c>
      <c r="N142">
        <f ca="1">SUMIF(Top!$W$5:$W$168,$B142,Top!AI$5:AI$167)+SUMIF(Mid!$W$5:$W$168,$B142,Mid!AI$5:AI$167)</f>
        <v>0</v>
      </c>
      <c r="O142">
        <f ca="1">SUMIF(Top!$W$5:$W$168,$B142,Top!AJ$5:AJ$167)+SUMIF(Mid!$W$5:$W$168,$B142,Mid!AJ$5:AJ$167)</f>
        <v>0</v>
      </c>
      <c r="P142">
        <f ca="1">SUMIF(Top!$W$5:$W$168,$B142,Top!AK$5:AK$167)+SUMIF(Mid!$W$5:$W$168,$B142,Mid!AK$5:AK$167)</f>
        <v>0</v>
      </c>
      <c r="Q142">
        <f t="shared" ca="1" si="4"/>
        <v>0</v>
      </c>
      <c r="R142" s="17">
        <f t="shared" ca="1" si="5"/>
        <v>0</v>
      </c>
    </row>
    <row r="143" spans="2:18" x14ac:dyDescent="0.25">
      <c r="B143" t="s">
        <v>149</v>
      </c>
      <c r="C143">
        <f ca="1">SUMIF(Top!$W$5:$W$168,$B143,Top!X$5:X$167)+SUMIF(Mid!$W$5:$W$168,$B143,Mid!X$5:X$167)</f>
        <v>0</v>
      </c>
      <c r="D143">
        <f ca="1">SUMIF(Top!$W$5:$W$168,$B143,Top!Y$5:Y$167)+SUMIF(Mid!$W$5:$W$168,$B143,Mid!Y$5:Y$167)</f>
        <v>0</v>
      </c>
      <c r="E143">
        <f ca="1">SUMIF(Top!$W$5:$W$168,$B143,Top!Z$5:Z$167)+SUMIF(Mid!$W$5:$W$168,$B143,Mid!Z$5:Z$167)</f>
        <v>0</v>
      </c>
      <c r="F143">
        <f ca="1">SUMIF(Top!$W$5:$W$168,$B143,Top!AA$5:AA$167)+SUMIF(Mid!$W$5:$W$168,$B143,Mid!AA$5:AA$167)</f>
        <v>0</v>
      </c>
      <c r="G143">
        <f ca="1">SUMIF(Top!$W$5:$W$168,$B143,Top!AB$5:AB$167)+SUMIF(Mid!$W$5:$W$168,$B143,Mid!AB$5:AB$167)</f>
        <v>0</v>
      </c>
      <c r="H143">
        <f ca="1">SUMIF(Top!$W$5:$W$168,$B143,Top!AC$5:AC$167)+SUMIF(Mid!$W$5:$W$168,$B143,Mid!AC$5:AC$167)</f>
        <v>0</v>
      </c>
      <c r="I143">
        <f ca="1">SUMIF(Top!$W$5:$W$168,$B143,Top!AD$5:AD$167)+SUMIF(Mid!$W$5:$W$168,$B143,Mid!AD$5:AD$167)</f>
        <v>0</v>
      </c>
      <c r="J143">
        <f ca="1">SUMIF(Top!$W$5:$W$168,$B143,Top!AE$5:AE$167)+SUMIF(Mid!$W$5:$W$168,$B143,Mid!AE$5:AE$167)</f>
        <v>0</v>
      </c>
      <c r="K143">
        <f ca="1">SUMIF(Top!$W$5:$W$168,$B143,Top!AF$5:AF$167)+SUMIF(Mid!$W$5:$W$168,$B143,Mid!AF$5:AF$167)</f>
        <v>0</v>
      </c>
      <c r="L143">
        <f ca="1">SUMIF(Top!$W$5:$W$168,$B143,Top!AG$5:AG$167)+SUMIF(Mid!$W$5:$W$168,$B143,Mid!AG$5:AG$167)</f>
        <v>0</v>
      </c>
      <c r="M143">
        <f ca="1">SUMIF(Top!$W$5:$W$168,$B143,Top!AH$5:AH$167)+SUMIF(Mid!$W$5:$W$168,$B143,Mid!AH$5:AH$167)</f>
        <v>0</v>
      </c>
      <c r="N143">
        <f ca="1">SUMIF(Top!$W$5:$W$168,$B143,Top!AI$5:AI$167)+SUMIF(Mid!$W$5:$W$168,$B143,Mid!AI$5:AI$167)</f>
        <v>0</v>
      </c>
      <c r="O143">
        <f ca="1">SUMIF(Top!$W$5:$W$168,$B143,Top!AJ$5:AJ$167)+SUMIF(Mid!$W$5:$W$168,$B143,Mid!AJ$5:AJ$167)</f>
        <v>0</v>
      </c>
      <c r="P143">
        <f ca="1">SUMIF(Top!$W$5:$W$168,$B143,Top!AK$5:AK$167)+SUMIF(Mid!$W$5:$W$168,$B143,Mid!AK$5:AK$167)</f>
        <v>0</v>
      </c>
      <c r="Q143">
        <f t="shared" ca="1" si="4"/>
        <v>0</v>
      </c>
      <c r="R143" s="17">
        <f t="shared" ca="1" si="5"/>
        <v>0</v>
      </c>
    </row>
    <row r="144" spans="2:18" x14ac:dyDescent="0.25">
      <c r="B144" t="s">
        <v>150</v>
      </c>
      <c r="C144">
        <f ca="1">SUMIF(Top!$W$5:$W$168,$B144,Top!X$5:X$167)+SUMIF(Mid!$W$5:$W$168,$B144,Mid!X$5:X$167)</f>
        <v>0</v>
      </c>
      <c r="D144">
        <f ca="1">SUMIF(Top!$W$5:$W$168,$B144,Top!Y$5:Y$167)+SUMIF(Mid!$W$5:$W$168,$B144,Mid!Y$5:Y$167)</f>
        <v>0</v>
      </c>
      <c r="E144">
        <f ca="1">SUMIF(Top!$W$5:$W$168,$B144,Top!Z$5:Z$167)+SUMIF(Mid!$W$5:$W$168,$B144,Mid!Z$5:Z$167)</f>
        <v>0</v>
      </c>
      <c r="F144">
        <f ca="1">SUMIF(Top!$W$5:$W$168,$B144,Top!AA$5:AA$167)+SUMIF(Mid!$W$5:$W$168,$B144,Mid!AA$5:AA$167)</f>
        <v>0</v>
      </c>
      <c r="G144">
        <f ca="1">SUMIF(Top!$W$5:$W$168,$B144,Top!AB$5:AB$167)+SUMIF(Mid!$W$5:$W$168,$B144,Mid!AB$5:AB$167)</f>
        <v>0</v>
      </c>
      <c r="H144">
        <f ca="1">SUMIF(Top!$W$5:$W$168,$B144,Top!AC$5:AC$167)+SUMIF(Mid!$W$5:$W$168,$B144,Mid!AC$5:AC$167)</f>
        <v>0</v>
      </c>
      <c r="I144">
        <f ca="1">SUMIF(Top!$W$5:$W$168,$B144,Top!AD$5:AD$167)+SUMIF(Mid!$W$5:$W$168,$B144,Mid!AD$5:AD$167)</f>
        <v>0</v>
      </c>
      <c r="J144">
        <f ca="1">SUMIF(Top!$W$5:$W$168,$B144,Top!AE$5:AE$167)+SUMIF(Mid!$W$5:$W$168,$B144,Mid!AE$5:AE$167)</f>
        <v>0</v>
      </c>
      <c r="K144">
        <f ca="1">SUMIF(Top!$W$5:$W$168,$B144,Top!AF$5:AF$167)+SUMIF(Mid!$W$5:$W$168,$B144,Mid!AF$5:AF$167)</f>
        <v>0</v>
      </c>
      <c r="L144">
        <f ca="1">SUMIF(Top!$W$5:$W$168,$B144,Top!AG$5:AG$167)+SUMIF(Mid!$W$5:$W$168,$B144,Mid!AG$5:AG$167)</f>
        <v>0</v>
      </c>
      <c r="M144">
        <f ca="1">SUMIF(Top!$W$5:$W$168,$B144,Top!AH$5:AH$167)+SUMIF(Mid!$W$5:$W$168,$B144,Mid!AH$5:AH$167)</f>
        <v>0</v>
      </c>
      <c r="N144">
        <f ca="1">SUMIF(Top!$W$5:$W$168,$B144,Top!AI$5:AI$167)+SUMIF(Mid!$W$5:$W$168,$B144,Mid!AI$5:AI$167)</f>
        <v>0</v>
      </c>
      <c r="O144">
        <f ca="1">SUMIF(Top!$W$5:$W$168,$B144,Top!AJ$5:AJ$167)+SUMIF(Mid!$W$5:$W$168,$B144,Mid!AJ$5:AJ$167)</f>
        <v>0</v>
      </c>
      <c r="P144">
        <f ca="1">SUMIF(Top!$W$5:$W$168,$B144,Top!AK$5:AK$167)+SUMIF(Mid!$W$5:$W$168,$B144,Mid!AK$5:AK$167)</f>
        <v>0</v>
      </c>
      <c r="Q144">
        <f t="shared" ca="1" si="4"/>
        <v>0</v>
      </c>
      <c r="R144" s="17">
        <f t="shared" ca="1" si="5"/>
        <v>0</v>
      </c>
    </row>
    <row r="145" spans="2:18" x14ac:dyDescent="0.25">
      <c r="B145" t="s">
        <v>151</v>
      </c>
      <c r="C145">
        <f ca="1">SUMIF(Top!$W$5:$W$168,$B145,Top!X$5:X$167)+SUMIF(Mid!$W$5:$W$168,$B145,Mid!X$5:X$167)</f>
        <v>0</v>
      </c>
      <c r="D145">
        <f ca="1">SUMIF(Top!$W$5:$W$168,$B145,Top!Y$5:Y$167)+SUMIF(Mid!$W$5:$W$168,$B145,Mid!Y$5:Y$167)</f>
        <v>0</v>
      </c>
      <c r="E145">
        <f ca="1">SUMIF(Top!$W$5:$W$168,$B145,Top!Z$5:Z$167)+SUMIF(Mid!$W$5:$W$168,$B145,Mid!Z$5:Z$167)</f>
        <v>0</v>
      </c>
      <c r="F145">
        <f ca="1">SUMIF(Top!$W$5:$W$168,$B145,Top!AA$5:AA$167)+SUMIF(Mid!$W$5:$W$168,$B145,Mid!AA$5:AA$167)</f>
        <v>0</v>
      </c>
      <c r="G145">
        <f ca="1">SUMIF(Top!$W$5:$W$168,$B145,Top!AB$5:AB$167)+SUMIF(Mid!$W$5:$W$168,$B145,Mid!AB$5:AB$167)</f>
        <v>0</v>
      </c>
      <c r="H145">
        <f ca="1">SUMIF(Top!$W$5:$W$168,$B145,Top!AC$5:AC$167)+SUMIF(Mid!$W$5:$W$168,$B145,Mid!AC$5:AC$167)</f>
        <v>0</v>
      </c>
      <c r="I145">
        <f ca="1">SUMIF(Top!$W$5:$W$168,$B145,Top!AD$5:AD$167)+SUMIF(Mid!$W$5:$W$168,$B145,Mid!AD$5:AD$167)</f>
        <v>0</v>
      </c>
      <c r="J145">
        <f ca="1">SUMIF(Top!$W$5:$W$168,$B145,Top!AE$5:AE$167)+SUMIF(Mid!$W$5:$W$168,$B145,Mid!AE$5:AE$167)</f>
        <v>0</v>
      </c>
      <c r="K145">
        <f ca="1">SUMIF(Top!$W$5:$W$168,$B145,Top!AF$5:AF$167)+SUMIF(Mid!$W$5:$W$168,$B145,Mid!AF$5:AF$167)</f>
        <v>0</v>
      </c>
      <c r="L145">
        <f ca="1">SUMIF(Top!$W$5:$W$168,$B145,Top!AG$5:AG$167)+SUMIF(Mid!$W$5:$W$168,$B145,Mid!AG$5:AG$167)</f>
        <v>0</v>
      </c>
      <c r="M145">
        <f ca="1">SUMIF(Top!$W$5:$W$168,$B145,Top!AH$5:AH$167)+SUMIF(Mid!$W$5:$W$168,$B145,Mid!AH$5:AH$167)</f>
        <v>0</v>
      </c>
      <c r="N145">
        <f ca="1">SUMIF(Top!$W$5:$W$168,$B145,Top!AI$5:AI$167)+SUMIF(Mid!$W$5:$W$168,$B145,Mid!AI$5:AI$167)</f>
        <v>0</v>
      </c>
      <c r="O145">
        <f ca="1">SUMIF(Top!$W$5:$W$168,$B145,Top!AJ$5:AJ$167)+SUMIF(Mid!$W$5:$W$168,$B145,Mid!AJ$5:AJ$167)</f>
        <v>0</v>
      </c>
      <c r="P145">
        <f ca="1">SUMIF(Top!$W$5:$W$168,$B145,Top!AK$5:AK$167)+SUMIF(Mid!$W$5:$W$168,$B145,Mid!AK$5:AK$167)</f>
        <v>0</v>
      </c>
      <c r="Q145">
        <f t="shared" ca="1" si="4"/>
        <v>0</v>
      </c>
      <c r="R145" s="17">
        <f t="shared" ca="1" si="5"/>
        <v>0</v>
      </c>
    </row>
    <row r="146" spans="2:18" x14ac:dyDescent="0.25">
      <c r="B146" t="s">
        <v>153</v>
      </c>
      <c r="C146">
        <f ca="1">SUMIF(Top!$W$5:$W$168,$B146,Top!X$5:X$167)+SUMIF(Mid!$W$5:$W$168,$B146,Mid!X$5:X$167)</f>
        <v>0</v>
      </c>
      <c r="D146">
        <f ca="1">SUMIF(Top!$W$5:$W$168,$B146,Top!Y$5:Y$167)+SUMIF(Mid!$W$5:$W$168,$B146,Mid!Y$5:Y$167)</f>
        <v>0</v>
      </c>
      <c r="E146">
        <f ca="1">SUMIF(Top!$W$5:$W$168,$B146,Top!Z$5:Z$167)+SUMIF(Mid!$W$5:$W$168,$B146,Mid!Z$5:Z$167)</f>
        <v>0</v>
      </c>
      <c r="F146">
        <f ca="1">SUMIF(Top!$W$5:$W$168,$B146,Top!AA$5:AA$167)+SUMIF(Mid!$W$5:$W$168,$B146,Mid!AA$5:AA$167)</f>
        <v>0</v>
      </c>
      <c r="G146">
        <f ca="1">SUMIF(Top!$W$5:$W$168,$B146,Top!AB$5:AB$167)+SUMIF(Mid!$W$5:$W$168,$B146,Mid!AB$5:AB$167)</f>
        <v>0</v>
      </c>
      <c r="H146">
        <f ca="1">SUMIF(Top!$W$5:$W$168,$B146,Top!AC$5:AC$167)+SUMIF(Mid!$W$5:$W$168,$B146,Mid!AC$5:AC$167)</f>
        <v>0</v>
      </c>
      <c r="I146">
        <f ca="1">SUMIF(Top!$W$5:$W$168,$B146,Top!AD$5:AD$167)+SUMIF(Mid!$W$5:$W$168,$B146,Mid!AD$5:AD$167)</f>
        <v>0</v>
      </c>
      <c r="J146">
        <f ca="1">SUMIF(Top!$W$5:$W$168,$B146,Top!AE$5:AE$167)+SUMIF(Mid!$W$5:$W$168,$B146,Mid!AE$5:AE$167)</f>
        <v>0</v>
      </c>
      <c r="K146">
        <f ca="1">SUMIF(Top!$W$5:$W$168,$B146,Top!AF$5:AF$167)+SUMIF(Mid!$W$5:$W$168,$B146,Mid!AF$5:AF$167)</f>
        <v>0</v>
      </c>
      <c r="L146">
        <f ca="1">SUMIF(Top!$W$5:$W$168,$B146,Top!AG$5:AG$167)+SUMIF(Mid!$W$5:$W$168,$B146,Mid!AG$5:AG$167)</f>
        <v>0</v>
      </c>
      <c r="M146">
        <f ca="1">SUMIF(Top!$W$5:$W$168,$B146,Top!AH$5:AH$167)+SUMIF(Mid!$W$5:$W$168,$B146,Mid!AH$5:AH$167)</f>
        <v>0</v>
      </c>
      <c r="N146">
        <f ca="1">SUMIF(Top!$W$5:$W$168,$B146,Top!AI$5:AI$167)+SUMIF(Mid!$W$5:$W$168,$B146,Mid!AI$5:AI$167)</f>
        <v>0</v>
      </c>
      <c r="O146">
        <f ca="1">SUMIF(Top!$W$5:$W$168,$B146,Top!AJ$5:AJ$167)+SUMIF(Mid!$W$5:$W$168,$B146,Mid!AJ$5:AJ$167)</f>
        <v>0</v>
      </c>
      <c r="P146">
        <f ca="1">SUMIF(Top!$W$5:$W$168,$B146,Top!AK$5:AK$167)+SUMIF(Mid!$W$5:$W$168,$B146,Mid!AK$5:AK$167)</f>
        <v>0</v>
      </c>
      <c r="Q146">
        <f t="shared" ca="1" si="4"/>
        <v>0</v>
      </c>
      <c r="R146" s="17">
        <f t="shared" ca="1" si="5"/>
        <v>0</v>
      </c>
    </row>
    <row r="147" spans="2:18" x14ac:dyDescent="0.25">
      <c r="B147" t="s">
        <v>154</v>
      </c>
      <c r="C147">
        <f ca="1">SUMIF(Top!$W$5:$W$168,$B147,Top!X$5:X$167)+SUMIF(Mid!$W$5:$W$168,$B147,Mid!X$5:X$167)</f>
        <v>0</v>
      </c>
      <c r="D147">
        <f ca="1">SUMIF(Top!$W$5:$W$168,$B147,Top!Y$5:Y$167)+SUMIF(Mid!$W$5:$W$168,$B147,Mid!Y$5:Y$167)</f>
        <v>0</v>
      </c>
      <c r="E147">
        <f ca="1">SUMIF(Top!$W$5:$W$168,$B147,Top!Z$5:Z$167)+SUMIF(Mid!$W$5:$W$168,$B147,Mid!Z$5:Z$167)</f>
        <v>0</v>
      </c>
      <c r="F147">
        <f ca="1">SUMIF(Top!$W$5:$W$168,$B147,Top!AA$5:AA$167)+SUMIF(Mid!$W$5:$W$168,$B147,Mid!AA$5:AA$167)</f>
        <v>0</v>
      </c>
      <c r="G147">
        <f ca="1">SUMIF(Top!$W$5:$W$168,$B147,Top!AB$5:AB$167)+SUMIF(Mid!$W$5:$W$168,$B147,Mid!AB$5:AB$167)</f>
        <v>0</v>
      </c>
      <c r="H147">
        <f ca="1">SUMIF(Top!$W$5:$W$168,$B147,Top!AC$5:AC$167)+SUMIF(Mid!$W$5:$W$168,$B147,Mid!AC$5:AC$167)</f>
        <v>0</v>
      </c>
      <c r="I147">
        <f ca="1">SUMIF(Top!$W$5:$W$168,$B147,Top!AD$5:AD$167)+SUMIF(Mid!$W$5:$W$168,$B147,Mid!AD$5:AD$167)</f>
        <v>0</v>
      </c>
      <c r="J147">
        <f ca="1">SUMIF(Top!$W$5:$W$168,$B147,Top!AE$5:AE$167)+SUMIF(Mid!$W$5:$W$168,$B147,Mid!AE$5:AE$167)</f>
        <v>0</v>
      </c>
      <c r="K147">
        <f ca="1">SUMIF(Top!$W$5:$W$168,$B147,Top!AF$5:AF$167)+SUMIF(Mid!$W$5:$W$168,$B147,Mid!AF$5:AF$167)</f>
        <v>0</v>
      </c>
      <c r="L147">
        <f ca="1">SUMIF(Top!$W$5:$W$168,$B147,Top!AG$5:AG$167)+SUMIF(Mid!$W$5:$W$168,$B147,Mid!AG$5:AG$167)</f>
        <v>0</v>
      </c>
      <c r="M147">
        <f ca="1">SUMIF(Top!$W$5:$W$168,$B147,Top!AH$5:AH$167)+SUMIF(Mid!$W$5:$W$168,$B147,Mid!AH$5:AH$167)</f>
        <v>0</v>
      </c>
      <c r="N147">
        <f ca="1">SUMIF(Top!$W$5:$W$168,$B147,Top!AI$5:AI$167)+SUMIF(Mid!$W$5:$W$168,$B147,Mid!AI$5:AI$167)</f>
        <v>0</v>
      </c>
      <c r="O147">
        <f ca="1">SUMIF(Top!$W$5:$W$168,$B147,Top!AJ$5:AJ$167)+SUMIF(Mid!$W$5:$W$168,$B147,Mid!AJ$5:AJ$167)</f>
        <v>0</v>
      </c>
      <c r="P147">
        <f ca="1">SUMIF(Top!$W$5:$W$168,$B147,Top!AK$5:AK$167)+SUMIF(Mid!$W$5:$W$168,$B147,Mid!AK$5:AK$167)</f>
        <v>0</v>
      </c>
      <c r="Q147">
        <f t="shared" ca="1" si="4"/>
        <v>0</v>
      </c>
      <c r="R147" s="17">
        <f t="shared" ca="1" si="5"/>
        <v>0</v>
      </c>
    </row>
    <row r="148" spans="2:18" x14ac:dyDescent="0.25">
      <c r="B148" t="s">
        <v>155</v>
      </c>
      <c r="C148">
        <f ca="1">SUMIF(Top!$W$5:$W$168,$B148,Top!X$5:X$167)+SUMIF(Mid!$W$5:$W$168,$B148,Mid!X$5:X$167)</f>
        <v>0</v>
      </c>
      <c r="D148">
        <f ca="1">SUMIF(Top!$W$5:$W$168,$B148,Top!Y$5:Y$167)+SUMIF(Mid!$W$5:$W$168,$B148,Mid!Y$5:Y$167)</f>
        <v>0</v>
      </c>
      <c r="E148">
        <f ca="1">SUMIF(Top!$W$5:$W$168,$B148,Top!Z$5:Z$167)+SUMIF(Mid!$W$5:$W$168,$B148,Mid!Z$5:Z$167)</f>
        <v>0</v>
      </c>
      <c r="F148">
        <f ca="1">SUMIF(Top!$W$5:$W$168,$B148,Top!AA$5:AA$167)+SUMIF(Mid!$W$5:$W$168,$B148,Mid!AA$5:AA$167)</f>
        <v>0</v>
      </c>
      <c r="G148">
        <f ca="1">SUMIF(Top!$W$5:$W$168,$B148,Top!AB$5:AB$167)+SUMIF(Mid!$W$5:$W$168,$B148,Mid!AB$5:AB$167)</f>
        <v>0</v>
      </c>
      <c r="H148">
        <f ca="1">SUMIF(Top!$W$5:$W$168,$B148,Top!AC$5:AC$167)+SUMIF(Mid!$W$5:$W$168,$B148,Mid!AC$5:AC$167)</f>
        <v>0</v>
      </c>
      <c r="I148">
        <f ca="1">SUMIF(Top!$W$5:$W$168,$B148,Top!AD$5:AD$167)+SUMIF(Mid!$W$5:$W$168,$B148,Mid!AD$5:AD$167)</f>
        <v>0</v>
      </c>
      <c r="J148">
        <f ca="1">SUMIF(Top!$W$5:$W$168,$B148,Top!AE$5:AE$167)+SUMIF(Mid!$W$5:$W$168,$B148,Mid!AE$5:AE$167)</f>
        <v>0</v>
      </c>
      <c r="K148">
        <f ca="1">SUMIF(Top!$W$5:$W$168,$B148,Top!AF$5:AF$167)+SUMIF(Mid!$W$5:$W$168,$B148,Mid!AF$5:AF$167)</f>
        <v>0</v>
      </c>
      <c r="L148">
        <f ca="1">SUMIF(Top!$W$5:$W$168,$B148,Top!AG$5:AG$167)+SUMIF(Mid!$W$5:$W$168,$B148,Mid!AG$5:AG$167)</f>
        <v>0</v>
      </c>
      <c r="M148">
        <f ca="1">SUMIF(Top!$W$5:$W$168,$B148,Top!AH$5:AH$167)+SUMIF(Mid!$W$5:$W$168,$B148,Mid!AH$5:AH$167)</f>
        <v>0</v>
      </c>
      <c r="N148">
        <f ca="1">SUMIF(Top!$W$5:$W$168,$B148,Top!AI$5:AI$167)+SUMIF(Mid!$W$5:$W$168,$B148,Mid!AI$5:AI$167)</f>
        <v>0</v>
      </c>
      <c r="O148">
        <f ca="1">SUMIF(Top!$W$5:$W$168,$B148,Top!AJ$5:AJ$167)+SUMIF(Mid!$W$5:$W$168,$B148,Mid!AJ$5:AJ$167)</f>
        <v>0</v>
      </c>
      <c r="P148">
        <f ca="1">SUMIF(Top!$W$5:$W$168,$B148,Top!AK$5:AK$167)+SUMIF(Mid!$W$5:$W$168,$B148,Mid!AK$5:AK$167)</f>
        <v>0</v>
      </c>
      <c r="Q148">
        <f t="shared" ca="1" si="4"/>
        <v>0</v>
      </c>
      <c r="R148" s="17">
        <f t="shared" ca="1" si="5"/>
        <v>0</v>
      </c>
    </row>
    <row r="149" spans="2:18" x14ac:dyDescent="0.25">
      <c r="B149" t="s">
        <v>157</v>
      </c>
      <c r="C149">
        <f ca="1">SUMIF(Top!$W$5:$W$168,$B149,Top!X$5:X$167)+SUMIF(Mid!$W$5:$W$168,$B149,Mid!X$5:X$167)</f>
        <v>0</v>
      </c>
      <c r="D149">
        <f ca="1">SUMIF(Top!$W$5:$W$168,$B149,Top!Y$5:Y$167)+SUMIF(Mid!$W$5:$W$168,$B149,Mid!Y$5:Y$167)</f>
        <v>0</v>
      </c>
      <c r="E149">
        <f ca="1">SUMIF(Top!$W$5:$W$168,$B149,Top!Z$5:Z$167)+SUMIF(Mid!$W$5:$W$168,$B149,Mid!Z$5:Z$167)</f>
        <v>18</v>
      </c>
      <c r="F149">
        <f ca="1">SUMIF(Top!$W$5:$W$168,$B149,Top!AA$5:AA$167)+SUMIF(Mid!$W$5:$W$168,$B149,Mid!AA$5:AA$167)</f>
        <v>0</v>
      </c>
      <c r="G149">
        <f ca="1">SUMIF(Top!$W$5:$W$168,$B149,Top!AB$5:AB$167)+SUMIF(Mid!$W$5:$W$168,$B149,Mid!AB$5:AB$167)</f>
        <v>0</v>
      </c>
      <c r="H149">
        <f ca="1">SUMIF(Top!$W$5:$W$168,$B149,Top!AC$5:AC$167)+SUMIF(Mid!$W$5:$W$168,$B149,Mid!AC$5:AC$167)</f>
        <v>0</v>
      </c>
      <c r="I149">
        <f ca="1">SUMIF(Top!$W$5:$W$168,$B149,Top!AD$5:AD$167)+SUMIF(Mid!$W$5:$W$168,$B149,Mid!AD$5:AD$167)</f>
        <v>0</v>
      </c>
      <c r="J149">
        <f ca="1">SUMIF(Top!$W$5:$W$168,$B149,Top!AE$5:AE$167)+SUMIF(Mid!$W$5:$W$168,$B149,Mid!AE$5:AE$167)</f>
        <v>0</v>
      </c>
      <c r="K149">
        <f ca="1">SUMIF(Top!$W$5:$W$168,$B149,Top!AF$5:AF$167)+SUMIF(Mid!$W$5:$W$168,$B149,Mid!AF$5:AF$167)</f>
        <v>0</v>
      </c>
      <c r="L149">
        <f ca="1">SUMIF(Top!$W$5:$W$168,$B149,Top!AG$5:AG$167)+SUMIF(Mid!$W$5:$W$168,$B149,Mid!AG$5:AG$167)</f>
        <v>0</v>
      </c>
      <c r="M149">
        <f ca="1">SUMIF(Top!$W$5:$W$168,$B149,Top!AH$5:AH$167)+SUMIF(Mid!$W$5:$W$168,$B149,Mid!AH$5:AH$167)</f>
        <v>0</v>
      </c>
      <c r="N149">
        <f ca="1">SUMIF(Top!$W$5:$W$168,$B149,Top!AI$5:AI$167)+SUMIF(Mid!$W$5:$W$168,$B149,Mid!AI$5:AI$167)</f>
        <v>0</v>
      </c>
      <c r="O149">
        <f ca="1">SUMIF(Top!$W$5:$W$168,$B149,Top!AJ$5:AJ$167)+SUMIF(Mid!$W$5:$W$168,$B149,Mid!AJ$5:AJ$167)</f>
        <v>0</v>
      </c>
      <c r="P149">
        <f ca="1">SUMIF(Top!$W$5:$W$168,$B149,Top!AK$5:AK$167)+SUMIF(Mid!$W$5:$W$168,$B149,Mid!AK$5:AK$167)</f>
        <v>0</v>
      </c>
      <c r="Q149">
        <f t="shared" ca="1" si="4"/>
        <v>18</v>
      </c>
      <c r="R149" s="17">
        <f t="shared" ca="1" si="5"/>
        <v>18</v>
      </c>
    </row>
    <row r="150" spans="2:18" x14ac:dyDescent="0.25">
      <c r="B150" t="s">
        <v>158</v>
      </c>
      <c r="C150">
        <f ca="1">SUMIF(Top!$W$5:$W$168,$B150,Top!X$5:X$167)+SUMIF(Mid!$W$5:$W$168,$B150,Mid!X$5:X$167)</f>
        <v>14</v>
      </c>
      <c r="D150">
        <f ca="1">SUMIF(Top!$W$5:$W$168,$B150,Top!Y$5:Y$167)+SUMIF(Mid!$W$5:$W$168,$B150,Mid!Y$5:Y$167)</f>
        <v>0</v>
      </c>
      <c r="E150">
        <f ca="1">SUMIF(Top!$W$5:$W$168,$B150,Top!Z$5:Z$167)+SUMIF(Mid!$W$5:$W$168,$B150,Mid!Z$5:Z$167)</f>
        <v>0</v>
      </c>
      <c r="F150">
        <f ca="1">SUMIF(Top!$W$5:$W$168,$B150,Top!AA$5:AA$167)+SUMIF(Mid!$W$5:$W$168,$B150,Mid!AA$5:AA$167)</f>
        <v>14</v>
      </c>
      <c r="G150">
        <f ca="1">SUMIF(Top!$W$5:$W$168,$B150,Top!AB$5:AB$167)+SUMIF(Mid!$W$5:$W$168,$B150,Mid!AB$5:AB$167)</f>
        <v>0</v>
      </c>
      <c r="H150">
        <f ca="1">SUMIF(Top!$W$5:$W$168,$B150,Top!AC$5:AC$167)+SUMIF(Mid!$W$5:$W$168,$B150,Mid!AC$5:AC$167)</f>
        <v>0</v>
      </c>
      <c r="I150">
        <f ca="1">SUMIF(Top!$W$5:$W$168,$B150,Top!AD$5:AD$167)+SUMIF(Mid!$W$5:$W$168,$B150,Mid!AD$5:AD$167)</f>
        <v>0</v>
      </c>
      <c r="J150">
        <f ca="1">SUMIF(Top!$W$5:$W$168,$B150,Top!AE$5:AE$167)+SUMIF(Mid!$W$5:$W$168,$B150,Mid!AE$5:AE$167)</f>
        <v>0</v>
      </c>
      <c r="K150">
        <f ca="1">SUMIF(Top!$W$5:$W$168,$B150,Top!AF$5:AF$167)+SUMIF(Mid!$W$5:$W$168,$B150,Mid!AF$5:AF$167)</f>
        <v>0</v>
      </c>
      <c r="L150">
        <f ca="1">SUMIF(Top!$W$5:$W$168,$B150,Top!AG$5:AG$167)+SUMIF(Mid!$W$5:$W$168,$B150,Mid!AG$5:AG$167)</f>
        <v>0</v>
      </c>
      <c r="M150">
        <f ca="1">SUMIF(Top!$W$5:$W$168,$B150,Top!AH$5:AH$167)+SUMIF(Mid!$W$5:$W$168,$B150,Mid!AH$5:AH$167)</f>
        <v>0</v>
      </c>
      <c r="N150">
        <f ca="1">SUMIF(Top!$W$5:$W$168,$B150,Top!AI$5:AI$167)+SUMIF(Mid!$W$5:$W$168,$B150,Mid!AI$5:AI$167)</f>
        <v>0</v>
      </c>
      <c r="O150">
        <f ca="1">SUMIF(Top!$W$5:$W$168,$B150,Top!AJ$5:AJ$167)+SUMIF(Mid!$W$5:$W$168,$B150,Mid!AJ$5:AJ$167)</f>
        <v>0</v>
      </c>
      <c r="P150">
        <f ca="1">SUMIF(Top!$W$5:$W$168,$B150,Top!AK$5:AK$167)+SUMIF(Mid!$W$5:$W$168,$B150,Mid!AK$5:AK$167)</f>
        <v>0</v>
      </c>
      <c r="Q150">
        <f t="shared" ca="1" si="4"/>
        <v>28</v>
      </c>
      <c r="R150" s="17">
        <f t="shared" ca="1" si="5"/>
        <v>14</v>
      </c>
    </row>
    <row r="151" spans="2:18" x14ac:dyDescent="0.25">
      <c r="B151" t="s">
        <v>159</v>
      </c>
      <c r="C151">
        <f ca="1">SUMIF(Top!$W$5:$W$168,$B151,Top!X$5:X$167)+SUMIF(Mid!$W$5:$W$168,$B151,Mid!X$5:X$167)</f>
        <v>0</v>
      </c>
      <c r="D151">
        <f ca="1">SUMIF(Top!$W$5:$W$168,$B151,Top!Y$5:Y$167)+SUMIF(Mid!$W$5:$W$168,$B151,Mid!Y$5:Y$167)</f>
        <v>0</v>
      </c>
      <c r="E151">
        <f ca="1">SUMIF(Top!$W$5:$W$168,$B151,Top!Z$5:Z$167)+SUMIF(Mid!$W$5:$W$168,$B151,Mid!Z$5:Z$167)</f>
        <v>0</v>
      </c>
      <c r="F151">
        <f ca="1">SUMIF(Top!$W$5:$W$168,$B151,Top!AA$5:AA$167)+SUMIF(Mid!$W$5:$W$168,$B151,Mid!AA$5:AA$167)</f>
        <v>0</v>
      </c>
      <c r="G151">
        <f ca="1">SUMIF(Top!$W$5:$W$168,$B151,Top!AB$5:AB$167)+SUMIF(Mid!$W$5:$W$168,$B151,Mid!AB$5:AB$167)</f>
        <v>0</v>
      </c>
      <c r="H151">
        <f ca="1">SUMIF(Top!$W$5:$W$168,$B151,Top!AC$5:AC$167)+SUMIF(Mid!$W$5:$W$168,$B151,Mid!AC$5:AC$167)</f>
        <v>0</v>
      </c>
      <c r="I151">
        <f ca="1">SUMIF(Top!$W$5:$W$168,$B151,Top!AD$5:AD$167)+SUMIF(Mid!$W$5:$W$168,$B151,Mid!AD$5:AD$167)</f>
        <v>0</v>
      </c>
      <c r="J151">
        <f ca="1">SUMIF(Top!$W$5:$W$168,$B151,Top!AE$5:AE$167)+SUMIF(Mid!$W$5:$W$168,$B151,Mid!AE$5:AE$167)</f>
        <v>0</v>
      </c>
      <c r="K151">
        <f ca="1">SUMIF(Top!$W$5:$W$168,$B151,Top!AF$5:AF$167)+SUMIF(Mid!$W$5:$W$168,$B151,Mid!AF$5:AF$167)</f>
        <v>0</v>
      </c>
      <c r="L151">
        <f ca="1">SUMIF(Top!$W$5:$W$168,$B151,Top!AG$5:AG$167)+SUMIF(Mid!$W$5:$W$168,$B151,Mid!AG$5:AG$167)</f>
        <v>0</v>
      </c>
      <c r="M151">
        <f ca="1">SUMIF(Top!$W$5:$W$168,$B151,Top!AH$5:AH$167)+SUMIF(Mid!$W$5:$W$168,$B151,Mid!AH$5:AH$167)</f>
        <v>0</v>
      </c>
      <c r="N151">
        <f ca="1">SUMIF(Top!$W$5:$W$168,$B151,Top!AI$5:AI$167)+SUMIF(Mid!$W$5:$W$168,$B151,Mid!AI$5:AI$167)</f>
        <v>0</v>
      </c>
      <c r="O151">
        <f ca="1">SUMIF(Top!$W$5:$W$168,$B151,Top!AJ$5:AJ$167)+SUMIF(Mid!$W$5:$W$168,$B151,Mid!AJ$5:AJ$167)</f>
        <v>0</v>
      </c>
      <c r="P151">
        <f ca="1">SUMIF(Top!$W$5:$W$168,$B151,Top!AK$5:AK$167)+SUMIF(Mid!$W$5:$W$168,$B151,Mid!AK$5:AK$167)</f>
        <v>0</v>
      </c>
      <c r="Q151">
        <f t="shared" ca="1" si="4"/>
        <v>0</v>
      </c>
      <c r="R151" s="17">
        <f t="shared" ca="1" si="5"/>
        <v>0</v>
      </c>
    </row>
    <row r="152" spans="2:18" x14ac:dyDescent="0.25">
      <c r="B152" t="s">
        <v>160</v>
      </c>
      <c r="C152">
        <f ca="1">SUMIF(Top!$W$5:$W$168,$B152,Top!X$5:X$167)+SUMIF(Mid!$W$5:$W$168,$B152,Mid!X$5:X$167)</f>
        <v>0</v>
      </c>
      <c r="D152">
        <f ca="1">SUMIF(Top!$W$5:$W$168,$B152,Top!Y$5:Y$167)+SUMIF(Mid!$W$5:$W$168,$B152,Mid!Y$5:Y$167)</f>
        <v>0</v>
      </c>
      <c r="E152">
        <f ca="1">SUMIF(Top!$W$5:$W$168,$B152,Top!Z$5:Z$167)+SUMIF(Mid!$W$5:$W$168,$B152,Mid!Z$5:Z$167)</f>
        <v>0</v>
      </c>
      <c r="F152">
        <f ca="1">SUMIF(Top!$W$5:$W$168,$B152,Top!AA$5:AA$167)+SUMIF(Mid!$W$5:$W$168,$B152,Mid!AA$5:AA$167)</f>
        <v>0</v>
      </c>
      <c r="G152">
        <f ca="1">SUMIF(Top!$W$5:$W$168,$B152,Top!AB$5:AB$167)+SUMIF(Mid!$W$5:$W$168,$B152,Mid!AB$5:AB$167)</f>
        <v>0</v>
      </c>
      <c r="H152">
        <f ca="1">SUMIF(Top!$W$5:$W$168,$B152,Top!AC$5:AC$167)+SUMIF(Mid!$W$5:$W$168,$B152,Mid!AC$5:AC$167)</f>
        <v>0</v>
      </c>
      <c r="I152">
        <f ca="1">SUMIF(Top!$W$5:$W$168,$B152,Top!AD$5:AD$167)+SUMIF(Mid!$W$5:$W$168,$B152,Mid!AD$5:AD$167)</f>
        <v>0</v>
      </c>
      <c r="J152">
        <f ca="1">SUMIF(Top!$W$5:$W$168,$B152,Top!AE$5:AE$167)+SUMIF(Mid!$W$5:$W$168,$B152,Mid!AE$5:AE$167)</f>
        <v>0</v>
      </c>
      <c r="K152">
        <f ca="1">SUMIF(Top!$W$5:$W$168,$B152,Top!AF$5:AF$167)+SUMIF(Mid!$W$5:$W$168,$B152,Mid!AF$5:AF$167)</f>
        <v>0</v>
      </c>
      <c r="L152">
        <f ca="1">SUMIF(Top!$W$5:$W$168,$B152,Top!AG$5:AG$167)+SUMIF(Mid!$W$5:$W$168,$B152,Mid!AG$5:AG$167)</f>
        <v>0</v>
      </c>
      <c r="M152">
        <f ca="1">SUMIF(Top!$W$5:$W$168,$B152,Top!AH$5:AH$167)+SUMIF(Mid!$W$5:$W$168,$B152,Mid!AH$5:AH$167)</f>
        <v>0</v>
      </c>
      <c r="N152">
        <f ca="1">SUMIF(Top!$W$5:$W$168,$B152,Top!AI$5:AI$167)+SUMIF(Mid!$W$5:$W$168,$B152,Mid!AI$5:AI$167)</f>
        <v>0</v>
      </c>
      <c r="O152">
        <f ca="1">SUMIF(Top!$W$5:$W$168,$B152,Top!AJ$5:AJ$167)+SUMIF(Mid!$W$5:$W$168,$B152,Mid!AJ$5:AJ$167)</f>
        <v>0</v>
      </c>
      <c r="P152">
        <f ca="1">SUMIF(Top!$W$5:$W$168,$B152,Top!AK$5:AK$167)+SUMIF(Mid!$W$5:$W$168,$B152,Mid!AK$5:AK$167)</f>
        <v>0</v>
      </c>
      <c r="Q152">
        <f t="shared" ca="1" si="4"/>
        <v>0</v>
      </c>
      <c r="R152" s="17">
        <f t="shared" ca="1" si="5"/>
        <v>0</v>
      </c>
    </row>
    <row r="153" spans="2:18" x14ac:dyDescent="0.25">
      <c r="B153" t="s">
        <v>161</v>
      </c>
      <c r="C153">
        <f ca="1">SUMIF(Top!$W$5:$W$168,$B153,Top!X$5:X$167)+SUMIF(Mid!$W$5:$W$168,$B153,Mid!X$5:X$167)</f>
        <v>0</v>
      </c>
      <c r="D153">
        <f ca="1">SUMIF(Top!$W$5:$W$168,$B153,Top!Y$5:Y$167)+SUMIF(Mid!$W$5:$W$168,$B153,Mid!Y$5:Y$167)</f>
        <v>0</v>
      </c>
      <c r="E153">
        <f ca="1">SUMIF(Top!$W$5:$W$168,$B153,Top!Z$5:Z$167)+SUMIF(Mid!$W$5:$W$168,$B153,Mid!Z$5:Z$167)</f>
        <v>0</v>
      </c>
      <c r="F153">
        <f ca="1">SUMIF(Top!$W$5:$W$168,$B153,Top!AA$5:AA$167)+SUMIF(Mid!$W$5:$W$168,$B153,Mid!AA$5:AA$167)</f>
        <v>0</v>
      </c>
      <c r="G153">
        <f ca="1">SUMIF(Top!$W$5:$W$168,$B153,Top!AB$5:AB$167)+SUMIF(Mid!$W$5:$W$168,$B153,Mid!AB$5:AB$167)</f>
        <v>0</v>
      </c>
      <c r="H153">
        <f ca="1">SUMIF(Top!$W$5:$W$168,$B153,Top!AC$5:AC$167)+SUMIF(Mid!$W$5:$W$168,$B153,Mid!AC$5:AC$167)</f>
        <v>0</v>
      </c>
      <c r="I153">
        <f ca="1">SUMIF(Top!$W$5:$W$168,$B153,Top!AD$5:AD$167)+SUMIF(Mid!$W$5:$W$168,$B153,Mid!AD$5:AD$167)</f>
        <v>0</v>
      </c>
      <c r="J153">
        <f ca="1">SUMIF(Top!$W$5:$W$168,$B153,Top!AE$5:AE$167)+SUMIF(Mid!$W$5:$W$168,$B153,Mid!AE$5:AE$167)</f>
        <v>0</v>
      </c>
      <c r="K153">
        <f ca="1">SUMIF(Top!$W$5:$W$168,$B153,Top!AF$5:AF$167)+SUMIF(Mid!$W$5:$W$168,$B153,Mid!AF$5:AF$167)</f>
        <v>0</v>
      </c>
      <c r="L153">
        <f ca="1">SUMIF(Top!$W$5:$W$168,$B153,Top!AG$5:AG$167)+SUMIF(Mid!$W$5:$W$168,$B153,Mid!AG$5:AG$167)</f>
        <v>0</v>
      </c>
      <c r="M153">
        <f ca="1">SUMIF(Top!$W$5:$W$168,$B153,Top!AH$5:AH$167)+SUMIF(Mid!$W$5:$W$168,$B153,Mid!AH$5:AH$167)</f>
        <v>0</v>
      </c>
      <c r="N153">
        <f ca="1">SUMIF(Top!$W$5:$W$168,$B153,Top!AI$5:AI$167)+SUMIF(Mid!$W$5:$W$168,$B153,Mid!AI$5:AI$167)</f>
        <v>0</v>
      </c>
      <c r="O153">
        <f ca="1">SUMIF(Top!$W$5:$W$168,$B153,Top!AJ$5:AJ$167)+SUMIF(Mid!$W$5:$W$168,$B153,Mid!AJ$5:AJ$167)</f>
        <v>0</v>
      </c>
      <c r="P153">
        <f ca="1">SUMIF(Top!$W$5:$W$168,$B153,Top!AK$5:AK$167)+SUMIF(Mid!$W$5:$W$168,$B153,Mid!AK$5:AK$167)</f>
        <v>0</v>
      </c>
      <c r="Q153">
        <f t="shared" ca="1" si="4"/>
        <v>0</v>
      </c>
      <c r="R153" s="17">
        <f t="shared" ca="1" si="5"/>
        <v>0</v>
      </c>
    </row>
    <row r="154" spans="2:18" x14ac:dyDescent="0.25">
      <c r="B154" t="s">
        <v>164</v>
      </c>
      <c r="C154">
        <f ca="1">SUMIF(Top!$W$5:$W$168,$B154,Top!X$5:X$167)+SUMIF(Mid!$W$5:$W$168,$B154,Mid!X$5:X$167)</f>
        <v>0</v>
      </c>
      <c r="D154">
        <f ca="1">SUMIF(Top!$W$5:$W$168,$B154,Top!Y$5:Y$167)+SUMIF(Mid!$W$5:$W$168,$B154,Mid!Y$5:Y$167)</f>
        <v>0</v>
      </c>
      <c r="E154">
        <f ca="1">SUMIF(Top!$W$5:$W$168,$B154,Top!Z$5:Z$167)+SUMIF(Mid!$W$5:$W$168,$B154,Mid!Z$5:Z$167)</f>
        <v>0</v>
      </c>
      <c r="F154">
        <f ca="1">SUMIF(Top!$W$5:$W$168,$B154,Top!AA$5:AA$167)+SUMIF(Mid!$W$5:$W$168,$B154,Mid!AA$5:AA$167)</f>
        <v>0</v>
      </c>
      <c r="G154">
        <f ca="1">SUMIF(Top!$W$5:$W$168,$B154,Top!AB$5:AB$167)+SUMIF(Mid!$W$5:$W$168,$B154,Mid!AB$5:AB$167)</f>
        <v>0</v>
      </c>
      <c r="H154">
        <f ca="1">SUMIF(Top!$W$5:$W$168,$B154,Top!AC$5:AC$167)+SUMIF(Mid!$W$5:$W$168,$B154,Mid!AC$5:AC$167)</f>
        <v>0</v>
      </c>
      <c r="I154">
        <f ca="1">SUMIF(Top!$W$5:$W$168,$B154,Top!AD$5:AD$167)+SUMIF(Mid!$W$5:$W$168,$B154,Mid!AD$5:AD$167)</f>
        <v>0</v>
      </c>
      <c r="J154">
        <f ca="1">SUMIF(Top!$W$5:$W$168,$B154,Top!AE$5:AE$167)+SUMIF(Mid!$W$5:$W$168,$B154,Mid!AE$5:AE$167)</f>
        <v>0</v>
      </c>
      <c r="K154">
        <f ca="1">SUMIF(Top!$W$5:$W$168,$B154,Top!AF$5:AF$167)+SUMIF(Mid!$W$5:$W$168,$B154,Mid!AF$5:AF$167)</f>
        <v>0</v>
      </c>
      <c r="L154">
        <f ca="1">SUMIF(Top!$W$5:$W$168,$B154,Top!AG$5:AG$167)+SUMIF(Mid!$W$5:$W$168,$B154,Mid!AG$5:AG$167)</f>
        <v>0</v>
      </c>
      <c r="M154">
        <f ca="1">SUMIF(Top!$W$5:$W$168,$B154,Top!AH$5:AH$167)+SUMIF(Mid!$W$5:$W$168,$B154,Mid!AH$5:AH$167)</f>
        <v>0</v>
      </c>
      <c r="N154">
        <f ca="1">SUMIF(Top!$W$5:$W$168,$B154,Top!AI$5:AI$167)+SUMIF(Mid!$W$5:$W$168,$B154,Mid!AI$5:AI$167)</f>
        <v>0</v>
      </c>
      <c r="O154">
        <f ca="1">SUMIF(Top!$W$5:$W$168,$B154,Top!AJ$5:AJ$167)+SUMIF(Mid!$W$5:$W$168,$B154,Mid!AJ$5:AJ$167)</f>
        <v>0</v>
      </c>
      <c r="P154">
        <f ca="1">SUMIF(Top!$W$5:$W$168,$B154,Top!AK$5:AK$167)+SUMIF(Mid!$W$5:$W$168,$B154,Mid!AK$5:AK$167)</f>
        <v>0</v>
      </c>
      <c r="Q154">
        <f t="shared" ca="1" si="4"/>
        <v>0</v>
      </c>
      <c r="R154" s="17">
        <f t="shared" ca="1" si="5"/>
        <v>0</v>
      </c>
    </row>
    <row r="155" spans="2:18" x14ac:dyDescent="0.25">
      <c r="B155" t="s">
        <v>165</v>
      </c>
      <c r="C155">
        <f ca="1">SUMIF(Top!$W$5:$W$168,$B155,Top!X$5:X$167)+SUMIF(Mid!$W$5:$W$168,$B155,Mid!X$5:X$167)</f>
        <v>0</v>
      </c>
      <c r="D155">
        <f ca="1">SUMIF(Top!$W$5:$W$168,$B155,Top!Y$5:Y$167)+SUMIF(Mid!$W$5:$W$168,$B155,Mid!Y$5:Y$167)</f>
        <v>0</v>
      </c>
      <c r="E155">
        <f ca="1">SUMIF(Top!$W$5:$W$168,$B155,Top!Z$5:Z$167)+SUMIF(Mid!$W$5:$W$168,$B155,Mid!Z$5:Z$167)</f>
        <v>0</v>
      </c>
      <c r="F155">
        <f ca="1">SUMIF(Top!$W$5:$W$168,$B155,Top!AA$5:AA$167)+SUMIF(Mid!$W$5:$W$168,$B155,Mid!AA$5:AA$167)</f>
        <v>0</v>
      </c>
      <c r="G155">
        <f ca="1">SUMIF(Top!$W$5:$W$168,$B155,Top!AB$5:AB$167)+SUMIF(Mid!$W$5:$W$168,$B155,Mid!AB$5:AB$167)</f>
        <v>0</v>
      </c>
      <c r="H155">
        <f ca="1">SUMIF(Top!$W$5:$W$168,$B155,Top!AC$5:AC$167)+SUMIF(Mid!$W$5:$W$168,$B155,Mid!AC$5:AC$167)</f>
        <v>0</v>
      </c>
      <c r="I155">
        <f ca="1">SUMIF(Top!$W$5:$W$168,$B155,Top!AD$5:AD$167)+SUMIF(Mid!$W$5:$W$168,$B155,Mid!AD$5:AD$167)</f>
        <v>0</v>
      </c>
      <c r="J155">
        <f ca="1">SUMIF(Top!$W$5:$W$168,$B155,Top!AE$5:AE$167)+SUMIF(Mid!$W$5:$W$168,$B155,Mid!AE$5:AE$167)</f>
        <v>0</v>
      </c>
      <c r="K155">
        <f ca="1">SUMIF(Top!$W$5:$W$168,$B155,Top!AF$5:AF$167)+SUMIF(Mid!$W$5:$W$168,$B155,Mid!AF$5:AF$167)</f>
        <v>0</v>
      </c>
      <c r="L155">
        <f ca="1">SUMIF(Top!$W$5:$W$168,$B155,Top!AG$5:AG$167)+SUMIF(Mid!$W$5:$W$168,$B155,Mid!AG$5:AG$167)</f>
        <v>0</v>
      </c>
      <c r="M155">
        <f ca="1">SUMIF(Top!$W$5:$W$168,$B155,Top!AH$5:AH$167)+SUMIF(Mid!$W$5:$W$168,$B155,Mid!AH$5:AH$167)</f>
        <v>0</v>
      </c>
      <c r="N155">
        <f ca="1">SUMIF(Top!$W$5:$W$168,$B155,Top!AI$5:AI$167)+SUMIF(Mid!$W$5:$W$168,$B155,Mid!AI$5:AI$167)</f>
        <v>0</v>
      </c>
      <c r="O155">
        <f ca="1">SUMIF(Top!$W$5:$W$168,$B155,Top!AJ$5:AJ$167)+SUMIF(Mid!$W$5:$W$168,$B155,Mid!AJ$5:AJ$167)</f>
        <v>0</v>
      </c>
      <c r="P155">
        <f ca="1">SUMIF(Top!$W$5:$W$168,$B155,Top!AK$5:AK$167)+SUMIF(Mid!$W$5:$W$168,$B155,Mid!AK$5:AK$167)</f>
        <v>0</v>
      </c>
      <c r="Q155">
        <f t="shared" ca="1" si="4"/>
        <v>0</v>
      </c>
      <c r="R155" s="17">
        <f t="shared" ca="1" si="5"/>
        <v>0</v>
      </c>
    </row>
    <row r="156" spans="2:18" x14ac:dyDescent="0.25">
      <c r="B156" t="s">
        <v>166</v>
      </c>
      <c r="C156">
        <f ca="1">SUMIF(Top!$W$5:$W$168,$B156,Top!X$5:X$167)+SUMIF(Mid!$W$5:$W$168,$B156,Mid!X$5:X$167)</f>
        <v>0</v>
      </c>
      <c r="D156">
        <f ca="1">SUMIF(Top!$W$5:$W$168,$B156,Top!Y$5:Y$167)+SUMIF(Mid!$W$5:$W$168,$B156,Mid!Y$5:Y$167)</f>
        <v>0</v>
      </c>
      <c r="E156">
        <f ca="1">SUMIF(Top!$W$5:$W$168,$B156,Top!Z$5:Z$167)+SUMIF(Mid!$W$5:$W$168,$B156,Mid!Z$5:Z$167)</f>
        <v>0</v>
      </c>
      <c r="F156">
        <f ca="1">SUMIF(Top!$W$5:$W$168,$B156,Top!AA$5:AA$167)+SUMIF(Mid!$W$5:$W$168,$B156,Mid!AA$5:AA$167)</f>
        <v>0</v>
      </c>
      <c r="G156">
        <f ca="1">SUMIF(Top!$W$5:$W$168,$B156,Top!AB$5:AB$167)+SUMIF(Mid!$W$5:$W$168,$B156,Mid!AB$5:AB$167)</f>
        <v>0</v>
      </c>
      <c r="H156">
        <f ca="1">SUMIF(Top!$W$5:$W$168,$B156,Top!AC$5:AC$167)+SUMIF(Mid!$W$5:$W$168,$B156,Mid!AC$5:AC$167)</f>
        <v>0</v>
      </c>
      <c r="I156">
        <f ca="1">SUMIF(Top!$W$5:$W$168,$B156,Top!AD$5:AD$167)+SUMIF(Mid!$W$5:$W$168,$B156,Mid!AD$5:AD$167)</f>
        <v>0</v>
      </c>
      <c r="J156">
        <f ca="1">SUMIF(Top!$W$5:$W$168,$B156,Top!AE$5:AE$167)+SUMIF(Mid!$W$5:$W$168,$B156,Mid!AE$5:AE$167)</f>
        <v>0</v>
      </c>
      <c r="K156">
        <f ca="1">SUMIF(Top!$W$5:$W$168,$B156,Top!AF$5:AF$167)+SUMIF(Mid!$W$5:$W$168,$B156,Mid!AF$5:AF$167)</f>
        <v>0</v>
      </c>
      <c r="L156">
        <f ca="1">SUMIF(Top!$W$5:$W$168,$B156,Top!AG$5:AG$167)+SUMIF(Mid!$W$5:$W$168,$B156,Mid!AG$5:AG$167)</f>
        <v>0</v>
      </c>
      <c r="M156">
        <f ca="1">SUMIF(Top!$W$5:$W$168,$B156,Top!AH$5:AH$167)+SUMIF(Mid!$W$5:$W$168,$B156,Mid!AH$5:AH$167)</f>
        <v>0</v>
      </c>
      <c r="N156">
        <f ca="1">SUMIF(Top!$W$5:$W$168,$B156,Top!AI$5:AI$167)+SUMIF(Mid!$W$5:$W$168,$B156,Mid!AI$5:AI$167)</f>
        <v>0</v>
      </c>
      <c r="O156">
        <f ca="1">SUMIF(Top!$W$5:$W$168,$B156,Top!AJ$5:AJ$167)+SUMIF(Mid!$W$5:$W$168,$B156,Mid!AJ$5:AJ$167)</f>
        <v>0</v>
      </c>
      <c r="P156">
        <f ca="1">SUMIF(Top!$W$5:$W$168,$B156,Top!AK$5:AK$167)+SUMIF(Mid!$W$5:$W$168,$B156,Mid!AK$5:AK$167)</f>
        <v>0</v>
      </c>
      <c r="Q156">
        <f t="shared" ca="1" si="4"/>
        <v>0</v>
      </c>
      <c r="R156" s="17">
        <f t="shared" ca="1" si="5"/>
        <v>0</v>
      </c>
    </row>
    <row r="157" spans="2:18" x14ac:dyDescent="0.25">
      <c r="B157" t="s">
        <v>168</v>
      </c>
      <c r="C157">
        <f ca="1">SUMIF(Top!$W$5:$W$168,$B157,Top!X$5:X$167)+SUMIF(Mid!$W$5:$W$168,$B157,Mid!X$5:X$167)</f>
        <v>0</v>
      </c>
      <c r="D157">
        <f ca="1">SUMIF(Top!$W$5:$W$168,$B157,Top!Y$5:Y$167)+SUMIF(Mid!$W$5:$W$168,$B157,Mid!Y$5:Y$167)</f>
        <v>0</v>
      </c>
      <c r="E157">
        <f ca="1">SUMIF(Top!$W$5:$W$168,$B157,Top!Z$5:Z$167)+SUMIF(Mid!$W$5:$W$168,$B157,Mid!Z$5:Z$167)</f>
        <v>0</v>
      </c>
      <c r="F157">
        <f ca="1">SUMIF(Top!$W$5:$W$168,$B157,Top!AA$5:AA$167)+SUMIF(Mid!$W$5:$W$168,$B157,Mid!AA$5:AA$167)</f>
        <v>0</v>
      </c>
      <c r="G157">
        <f ca="1">SUMIF(Top!$W$5:$W$168,$B157,Top!AB$5:AB$167)+SUMIF(Mid!$W$5:$W$168,$B157,Mid!AB$5:AB$167)</f>
        <v>0</v>
      </c>
      <c r="H157">
        <f ca="1">SUMIF(Top!$W$5:$W$168,$B157,Top!AC$5:AC$167)+SUMIF(Mid!$W$5:$W$168,$B157,Mid!AC$5:AC$167)</f>
        <v>0</v>
      </c>
      <c r="I157">
        <f ca="1">SUMIF(Top!$W$5:$W$168,$B157,Top!AD$5:AD$167)+SUMIF(Mid!$W$5:$W$168,$B157,Mid!AD$5:AD$167)</f>
        <v>0</v>
      </c>
      <c r="J157">
        <f ca="1">SUMIF(Top!$W$5:$W$168,$B157,Top!AE$5:AE$167)+SUMIF(Mid!$W$5:$W$168,$B157,Mid!AE$5:AE$167)</f>
        <v>0</v>
      </c>
      <c r="K157">
        <f ca="1">SUMIF(Top!$W$5:$W$168,$B157,Top!AF$5:AF$167)+SUMIF(Mid!$W$5:$W$168,$B157,Mid!AF$5:AF$167)</f>
        <v>0</v>
      </c>
      <c r="L157">
        <f ca="1">SUMIF(Top!$W$5:$W$168,$B157,Top!AG$5:AG$167)+SUMIF(Mid!$W$5:$W$168,$B157,Mid!AG$5:AG$167)</f>
        <v>0</v>
      </c>
      <c r="M157">
        <f ca="1">SUMIF(Top!$W$5:$W$168,$B157,Top!AH$5:AH$167)+SUMIF(Mid!$W$5:$W$168,$B157,Mid!AH$5:AH$167)</f>
        <v>0</v>
      </c>
      <c r="N157">
        <f ca="1">SUMIF(Top!$W$5:$W$168,$B157,Top!AI$5:AI$167)+SUMIF(Mid!$W$5:$W$168,$B157,Mid!AI$5:AI$167)</f>
        <v>0</v>
      </c>
      <c r="O157">
        <f ca="1">SUMIF(Top!$W$5:$W$168,$B157,Top!AJ$5:AJ$167)+SUMIF(Mid!$W$5:$W$168,$B157,Mid!AJ$5:AJ$167)</f>
        <v>0</v>
      </c>
      <c r="P157">
        <f ca="1">SUMIF(Top!$W$5:$W$168,$B157,Top!AK$5:AK$167)+SUMIF(Mid!$W$5:$W$168,$B157,Mid!AK$5:AK$167)</f>
        <v>0</v>
      </c>
      <c r="Q157">
        <f t="shared" ca="1" si="4"/>
        <v>0</v>
      </c>
      <c r="R157" s="17">
        <f t="shared" ca="1" si="5"/>
        <v>0</v>
      </c>
    </row>
    <row r="158" spans="2:18" x14ac:dyDescent="0.25">
      <c r="B158" t="s">
        <v>169</v>
      </c>
      <c r="C158">
        <f ca="1">SUMIF(Top!$W$5:$W$168,$B158,Top!X$5:X$167)+SUMIF(Mid!$W$5:$W$168,$B158,Mid!X$5:X$167)</f>
        <v>0</v>
      </c>
      <c r="D158">
        <f ca="1">SUMIF(Top!$W$5:$W$168,$B158,Top!Y$5:Y$167)+SUMIF(Mid!$W$5:$W$168,$B158,Mid!Y$5:Y$167)</f>
        <v>0</v>
      </c>
      <c r="E158">
        <f ca="1">SUMIF(Top!$W$5:$W$168,$B158,Top!Z$5:Z$167)+SUMIF(Mid!$W$5:$W$168,$B158,Mid!Z$5:Z$167)</f>
        <v>0</v>
      </c>
      <c r="F158">
        <f ca="1">SUMIF(Top!$W$5:$W$168,$B158,Top!AA$5:AA$167)+SUMIF(Mid!$W$5:$W$168,$B158,Mid!AA$5:AA$167)</f>
        <v>0</v>
      </c>
      <c r="G158">
        <f ca="1">SUMIF(Top!$W$5:$W$168,$B158,Top!AB$5:AB$167)+SUMIF(Mid!$W$5:$W$168,$B158,Mid!AB$5:AB$167)</f>
        <v>0</v>
      </c>
      <c r="H158">
        <f ca="1">SUMIF(Top!$W$5:$W$168,$B158,Top!AC$5:AC$167)+SUMIF(Mid!$W$5:$W$168,$B158,Mid!AC$5:AC$167)</f>
        <v>0</v>
      </c>
      <c r="I158">
        <f ca="1">SUMIF(Top!$W$5:$W$168,$B158,Top!AD$5:AD$167)+SUMIF(Mid!$W$5:$W$168,$B158,Mid!AD$5:AD$167)</f>
        <v>0</v>
      </c>
      <c r="J158">
        <f ca="1">SUMIF(Top!$W$5:$W$168,$B158,Top!AE$5:AE$167)+SUMIF(Mid!$W$5:$W$168,$B158,Mid!AE$5:AE$167)</f>
        <v>0</v>
      </c>
      <c r="K158">
        <f ca="1">SUMIF(Top!$W$5:$W$168,$B158,Top!AF$5:AF$167)+SUMIF(Mid!$W$5:$W$168,$B158,Mid!AF$5:AF$167)</f>
        <v>0</v>
      </c>
      <c r="L158">
        <f ca="1">SUMIF(Top!$W$5:$W$168,$B158,Top!AG$5:AG$167)+SUMIF(Mid!$W$5:$W$168,$B158,Mid!AG$5:AG$167)</f>
        <v>0</v>
      </c>
      <c r="M158">
        <f ca="1">SUMIF(Top!$W$5:$W$168,$B158,Top!AH$5:AH$167)+SUMIF(Mid!$W$5:$W$168,$B158,Mid!AH$5:AH$167)</f>
        <v>0</v>
      </c>
      <c r="N158">
        <f ca="1">SUMIF(Top!$W$5:$W$168,$B158,Top!AI$5:AI$167)+SUMIF(Mid!$W$5:$W$168,$B158,Mid!AI$5:AI$167)</f>
        <v>0</v>
      </c>
      <c r="O158">
        <f ca="1">SUMIF(Top!$W$5:$W$168,$B158,Top!AJ$5:AJ$167)+SUMIF(Mid!$W$5:$W$168,$B158,Mid!AJ$5:AJ$167)</f>
        <v>0</v>
      </c>
      <c r="P158">
        <f ca="1">SUMIF(Top!$W$5:$W$168,$B158,Top!AK$5:AK$167)+SUMIF(Mid!$W$5:$W$168,$B158,Mid!AK$5:AK$167)</f>
        <v>0</v>
      </c>
      <c r="Q158">
        <f t="shared" ca="1" si="4"/>
        <v>0</v>
      </c>
      <c r="R158" s="17">
        <f t="shared" ca="1" si="5"/>
        <v>0</v>
      </c>
    </row>
    <row r="159" spans="2:18" x14ac:dyDescent="0.25">
      <c r="B159" t="s">
        <v>171</v>
      </c>
      <c r="C159">
        <f ca="1">SUMIF(Top!$W$5:$W$168,$B159,Top!X$5:X$167)+SUMIF(Mid!$W$5:$W$168,$B159,Mid!X$5:X$167)</f>
        <v>0</v>
      </c>
      <c r="D159">
        <f ca="1">SUMIF(Top!$W$5:$W$168,$B159,Top!Y$5:Y$167)+SUMIF(Mid!$W$5:$W$168,$B159,Mid!Y$5:Y$167)</f>
        <v>1</v>
      </c>
      <c r="E159">
        <f ca="1">SUMIF(Top!$W$5:$W$168,$B159,Top!Z$5:Z$167)+SUMIF(Mid!$W$5:$W$168,$B159,Mid!Z$5:Z$167)</f>
        <v>0</v>
      </c>
      <c r="F159">
        <f ca="1">SUMIF(Top!$W$5:$W$168,$B159,Top!AA$5:AA$167)+SUMIF(Mid!$W$5:$W$168,$B159,Mid!AA$5:AA$167)</f>
        <v>0</v>
      </c>
      <c r="G159">
        <f ca="1">SUMIF(Top!$W$5:$W$168,$B159,Top!AB$5:AB$167)+SUMIF(Mid!$W$5:$W$168,$B159,Mid!AB$5:AB$167)</f>
        <v>0</v>
      </c>
      <c r="H159">
        <f ca="1">SUMIF(Top!$W$5:$W$168,$B159,Top!AC$5:AC$167)+SUMIF(Mid!$W$5:$W$168,$B159,Mid!AC$5:AC$167)</f>
        <v>0</v>
      </c>
      <c r="I159">
        <f ca="1">SUMIF(Top!$W$5:$W$168,$B159,Top!AD$5:AD$167)+SUMIF(Mid!$W$5:$W$168,$B159,Mid!AD$5:AD$167)</f>
        <v>0</v>
      </c>
      <c r="J159">
        <f ca="1">SUMIF(Top!$W$5:$W$168,$B159,Top!AE$5:AE$167)+SUMIF(Mid!$W$5:$W$168,$B159,Mid!AE$5:AE$167)</f>
        <v>0</v>
      </c>
      <c r="K159">
        <f ca="1">SUMIF(Top!$W$5:$W$168,$B159,Top!AF$5:AF$167)+SUMIF(Mid!$W$5:$W$168,$B159,Mid!AF$5:AF$167)</f>
        <v>0</v>
      </c>
      <c r="L159">
        <f ca="1">SUMIF(Top!$W$5:$W$168,$B159,Top!AG$5:AG$167)+SUMIF(Mid!$W$5:$W$168,$B159,Mid!AG$5:AG$167)</f>
        <v>0</v>
      </c>
      <c r="M159">
        <f ca="1">SUMIF(Top!$W$5:$W$168,$B159,Top!AH$5:AH$167)+SUMIF(Mid!$W$5:$W$168,$B159,Mid!AH$5:AH$167)</f>
        <v>0</v>
      </c>
      <c r="N159">
        <f ca="1">SUMIF(Top!$W$5:$W$168,$B159,Top!AI$5:AI$167)+SUMIF(Mid!$W$5:$W$168,$B159,Mid!AI$5:AI$167)</f>
        <v>0</v>
      </c>
      <c r="O159">
        <f ca="1">SUMIF(Top!$W$5:$W$168,$B159,Top!AJ$5:AJ$167)+SUMIF(Mid!$W$5:$W$168,$B159,Mid!AJ$5:AJ$167)</f>
        <v>0</v>
      </c>
      <c r="P159">
        <f ca="1">SUMIF(Top!$W$5:$W$168,$B159,Top!AK$5:AK$167)+SUMIF(Mid!$W$5:$W$168,$B159,Mid!AK$5:AK$167)</f>
        <v>0</v>
      </c>
      <c r="Q159">
        <f t="shared" ca="1" si="4"/>
        <v>1</v>
      </c>
      <c r="R159" s="17">
        <f t="shared" ca="1" si="5"/>
        <v>1</v>
      </c>
    </row>
    <row r="160" spans="2:18" x14ac:dyDescent="0.25">
      <c r="B160" t="s">
        <v>172</v>
      </c>
      <c r="C160">
        <f ca="1">SUMIF(Top!$W$5:$W$168,$B160,Top!X$5:X$167)+SUMIF(Mid!$W$5:$W$168,$B160,Mid!X$5:X$167)</f>
        <v>0</v>
      </c>
      <c r="D160">
        <f ca="1">SUMIF(Top!$W$5:$W$168,$B160,Top!Y$5:Y$167)+SUMIF(Mid!$W$5:$W$168,$B160,Mid!Y$5:Y$167)</f>
        <v>0</v>
      </c>
      <c r="E160">
        <f ca="1">SUMIF(Top!$W$5:$W$168,$B160,Top!Z$5:Z$167)+SUMIF(Mid!$W$5:$W$168,$B160,Mid!Z$5:Z$167)</f>
        <v>0</v>
      </c>
      <c r="F160">
        <f ca="1">SUMIF(Top!$W$5:$W$168,$B160,Top!AA$5:AA$167)+SUMIF(Mid!$W$5:$W$168,$B160,Mid!AA$5:AA$167)</f>
        <v>0</v>
      </c>
      <c r="G160">
        <f ca="1">SUMIF(Top!$W$5:$W$168,$B160,Top!AB$5:AB$167)+SUMIF(Mid!$W$5:$W$168,$B160,Mid!AB$5:AB$167)</f>
        <v>0</v>
      </c>
      <c r="H160">
        <f ca="1">SUMIF(Top!$W$5:$W$168,$B160,Top!AC$5:AC$167)+SUMIF(Mid!$W$5:$W$168,$B160,Mid!AC$5:AC$167)</f>
        <v>0</v>
      </c>
      <c r="I160">
        <f ca="1">SUMIF(Top!$W$5:$W$168,$B160,Top!AD$5:AD$167)+SUMIF(Mid!$W$5:$W$168,$B160,Mid!AD$5:AD$167)</f>
        <v>0</v>
      </c>
      <c r="J160">
        <f ca="1">SUMIF(Top!$W$5:$W$168,$B160,Top!AE$5:AE$167)+SUMIF(Mid!$W$5:$W$168,$B160,Mid!AE$5:AE$167)</f>
        <v>0</v>
      </c>
      <c r="K160">
        <f ca="1">SUMIF(Top!$W$5:$W$168,$B160,Top!AF$5:AF$167)+SUMIF(Mid!$W$5:$W$168,$B160,Mid!AF$5:AF$167)</f>
        <v>0</v>
      </c>
      <c r="L160">
        <f ca="1">SUMIF(Top!$W$5:$W$168,$B160,Top!AG$5:AG$167)+SUMIF(Mid!$W$5:$W$168,$B160,Mid!AG$5:AG$167)</f>
        <v>0</v>
      </c>
      <c r="M160">
        <f ca="1">SUMIF(Top!$W$5:$W$168,$B160,Top!AH$5:AH$167)+SUMIF(Mid!$W$5:$W$168,$B160,Mid!AH$5:AH$167)</f>
        <v>0</v>
      </c>
      <c r="N160">
        <f ca="1">SUMIF(Top!$W$5:$W$168,$B160,Top!AI$5:AI$167)+SUMIF(Mid!$W$5:$W$168,$B160,Mid!AI$5:AI$167)</f>
        <v>0</v>
      </c>
      <c r="O160">
        <f ca="1">SUMIF(Top!$W$5:$W$168,$B160,Top!AJ$5:AJ$167)+SUMIF(Mid!$W$5:$W$168,$B160,Mid!AJ$5:AJ$167)</f>
        <v>0</v>
      </c>
      <c r="P160">
        <f ca="1">SUMIF(Top!$W$5:$W$168,$B160,Top!AK$5:AK$167)+SUMIF(Mid!$W$5:$W$168,$B160,Mid!AK$5:AK$167)</f>
        <v>0</v>
      </c>
      <c r="Q160">
        <f t="shared" ca="1" si="4"/>
        <v>0</v>
      </c>
      <c r="R160" s="17">
        <f t="shared" ca="1" si="5"/>
        <v>0</v>
      </c>
    </row>
    <row r="161" spans="2:18" x14ac:dyDescent="0.25">
      <c r="B161" t="s">
        <v>173</v>
      </c>
      <c r="C161">
        <f ca="1">SUMIF(Top!$W$5:$W$168,$B161,Top!X$5:X$167)+SUMIF(Mid!$W$5:$W$168,$B161,Mid!X$5:X$167)</f>
        <v>6</v>
      </c>
      <c r="D161">
        <f ca="1">SUMIF(Top!$W$5:$W$168,$B161,Top!Y$5:Y$167)+SUMIF(Mid!$W$5:$W$168,$B161,Mid!Y$5:Y$167)</f>
        <v>0</v>
      </c>
      <c r="E161">
        <f ca="1">SUMIF(Top!$W$5:$W$168,$B161,Top!Z$5:Z$167)+SUMIF(Mid!$W$5:$W$168,$B161,Mid!Z$5:Z$167)</f>
        <v>0</v>
      </c>
      <c r="F161">
        <f ca="1">SUMIF(Top!$W$5:$W$168,$B161,Top!AA$5:AA$167)+SUMIF(Mid!$W$5:$W$168,$B161,Mid!AA$5:AA$167)</f>
        <v>2</v>
      </c>
      <c r="G161">
        <f ca="1">SUMIF(Top!$W$5:$W$168,$B161,Top!AB$5:AB$167)+SUMIF(Mid!$W$5:$W$168,$B161,Mid!AB$5:AB$167)</f>
        <v>0</v>
      </c>
      <c r="H161">
        <f ca="1">SUMIF(Top!$W$5:$W$168,$B161,Top!AC$5:AC$167)+SUMIF(Mid!$W$5:$W$168,$B161,Mid!AC$5:AC$167)</f>
        <v>0</v>
      </c>
      <c r="I161">
        <f ca="1">SUMIF(Top!$W$5:$W$168,$B161,Top!AD$5:AD$167)+SUMIF(Mid!$W$5:$W$168,$B161,Mid!AD$5:AD$167)</f>
        <v>0</v>
      </c>
      <c r="J161">
        <f ca="1">SUMIF(Top!$W$5:$W$168,$B161,Top!AE$5:AE$167)+SUMIF(Mid!$W$5:$W$168,$B161,Mid!AE$5:AE$167)</f>
        <v>0</v>
      </c>
      <c r="K161">
        <f ca="1">SUMIF(Top!$W$5:$W$168,$B161,Top!AF$5:AF$167)+SUMIF(Mid!$W$5:$W$168,$B161,Mid!AF$5:AF$167)</f>
        <v>0</v>
      </c>
      <c r="L161">
        <f ca="1">SUMIF(Top!$W$5:$W$168,$B161,Top!AG$5:AG$167)+SUMIF(Mid!$W$5:$W$168,$B161,Mid!AG$5:AG$167)</f>
        <v>0</v>
      </c>
      <c r="M161">
        <f ca="1">SUMIF(Top!$W$5:$W$168,$B161,Top!AH$5:AH$167)+SUMIF(Mid!$W$5:$W$168,$B161,Mid!AH$5:AH$167)</f>
        <v>0</v>
      </c>
      <c r="N161">
        <f ca="1">SUMIF(Top!$W$5:$W$168,$B161,Top!AI$5:AI$167)+SUMIF(Mid!$W$5:$W$168,$B161,Mid!AI$5:AI$167)</f>
        <v>0</v>
      </c>
      <c r="O161">
        <f ca="1">SUMIF(Top!$W$5:$W$168,$B161,Top!AJ$5:AJ$167)+SUMIF(Mid!$W$5:$W$168,$B161,Mid!AJ$5:AJ$167)</f>
        <v>0</v>
      </c>
      <c r="P161">
        <f ca="1">SUMIF(Top!$W$5:$W$168,$B161,Top!AK$5:AK$167)+SUMIF(Mid!$W$5:$W$168,$B161,Mid!AK$5:AK$167)</f>
        <v>0</v>
      </c>
      <c r="Q161">
        <f t="shared" ca="1" si="4"/>
        <v>8</v>
      </c>
      <c r="R161" s="17">
        <f t="shared" ca="1" si="5"/>
        <v>4</v>
      </c>
    </row>
    <row r="162" spans="2:18" x14ac:dyDescent="0.25">
      <c r="B162" t="s">
        <v>176</v>
      </c>
      <c r="C162">
        <f ca="1">SUMIF(Top!$W$5:$W$168,$B162,Top!X$5:X$167)+SUMIF(Mid!$W$5:$W$168,$B162,Mid!X$5:X$167)</f>
        <v>0</v>
      </c>
      <c r="D162">
        <f ca="1">SUMIF(Top!$W$5:$W$168,$B162,Top!Y$5:Y$167)+SUMIF(Mid!$W$5:$W$168,$B162,Mid!Y$5:Y$167)</f>
        <v>0</v>
      </c>
      <c r="E162">
        <f ca="1">SUMIF(Top!$W$5:$W$168,$B162,Top!Z$5:Z$167)+SUMIF(Mid!$W$5:$W$168,$B162,Mid!Z$5:Z$167)</f>
        <v>0</v>
      </c>
      <c r="F162">
        <f ca="1">SUMIF(Top!$W$5:$W$168,$B162,Top!AA$5:AA$167)+SUMIF(Mid!$W$5:$W$168,$B162,Mid!AA$5:AA$167)</f>
        <v>0</v>
      </c>
      <c r="G162">
        <f ca="1">SUMIF(Top!$W$5:$W$168,$B162,Top!AB$5:AB$167)+SUMIF(Mid!$W$5:$W$168,$B162,Mid!AB$5:AB$167)</f>
        <v>0</v>
      </c>
      <c r="H162">
        <f ca="1">SUMIF(Top!$W$5:$W$168,$B162,Top!AC$5:AC$167)+SUMIF(Mid!$W$5:$W$168,$B162,Mid!AC$5:AC$167)</f>
        <v>0</v>
      </c>
      <c r="I162">
        <f ca="1">SUMIF(Top!$W$5:$W$168,$B162,Top!AD$5:AD$167)+SUMIF(Mid!$W$5:$W$168,$B162,Mid!AD$5:AD$167)</f>
        <v>0</v>
      </c>
      <c r="J162">
        <f ca="1">SUMIF(Top!$W$5:$W$168,$B162,Top!AE$5:AE$167)+SUMIF(Mid!$W$5:$W$168,$B162,Mid!AE$5:AE$167)</f>
        <v>0</v>
      </c>
      <c r="K162">
        <f ca="1">SUMIF(Top!$W$5:$W$168,$B162,Top!AF$5:AF$167)+SUMIF(Mid!$W$5:$W$168,$B162,Mid!AF$5:AF$167)</f>
        <v>0</v>
      </c>
      <c r="L162">
        <f ca="1">SUMIF(Top!$W$5:$W$168,$B162,Top!AG$5:AG$167)+SUMIF(Mid!$W$5:$W$168,$B162,Mid!AG$5:AG$167)</f>
        <v>0</v>
      </c>
      <c r="M162">
        <f ca="1">SUMIF(Top!$W$5:$W$168,$B162,Top!AH$5:AH$167)+SUMIF(Mid!$W$5:$W$168,$B162,Mid!AH$5:AH$167)</f>
        <v>0</v>
      </c>
      <c r="N162">
        <f ca="1">SUMIF(Top!$W$5:$W$168,$B162,Top!AI$5:AI$167)+SUMIF(Mid!$W$5:$W$168,$B162,Mid!AI$5:AI$167)</f>
        <v>0</v>
      </c>
      <c r="O162">
        <f ca="1">SUMIF(Top!$W$5:$W$168,$B162,Top!AJ$5:AJ$167)+SUMIF(Mid!$W$5:$W$168,$B162,Mid!AJ$5:AJ$167)</f>
        <v>0</v>
      </c>
      <c r="P162">
        <f ca="1">SUMIF(Top!$W$5:$W$168,$B162,Top!AK$5:AK$167)+SUMIF(Mid!$W$5:$W$168,$B162,Mid!AK$5:AK$167)</f>
        <v>0</v>
      </c>
      <c r="Q162">
        <f t="shared" ca="1" si="4"/>
        <v>0</v>
      </c>
      <c r="R162" s="17">
        <f t="shared" ca="1" si="5"/>
        <v>0</v>
      </c>
    </row>
    <row r="163" spans="2:18" x14ac:dyDescent="0.25">
      <c r="B163" t="s">
        <v>177</v>
      </c>
      <c r="C163">
        <f ca="1">SUMIF(Top!$W$5:$W$168,$B163,Top!X$5:X$167)+SUMIF(Mid!$W$5:$W$168,$B163,Mid!X$5:X$167)</f>
        <v>0</v>
      </c>
      <c r="D163">
        <f ca="1">SUMIF(Top!$W$5:$W$168,$B163,Top!Y$5:Y$167)+SUMIF(Mid!$W$5:$W$168,$B163,Mid!Y$5:Y$167)</f>
        <v>19</v>
      </c>
      <c r="E163">
        <f ca="1">SUMIF(Top!$W$5:$W$168,$B163,Top!Z$5:Z$167)+SUMIF(Mid!$W$5:$W$168,$B163,Mid!Z$5:Z$167)</f>
        <v>0</v>
      </c>
      <c r="F163">
        <f ca="1">SUMIF(Top!$W$5:$W$168,$B163,Top!AA$5:AA$167)+SUMIF(Mid!$W$5:$W$168,$B163,Mid!AA$5:AA$167)</f>
        <v>18</v>
      </c>
      <c r="G163">
        <f ca="1">SUMIF(Top!$W$5:$W$168,$B163,Top!AB$5:AB$167)+SUMIF(Mid!$W$5:$W$168,$B163,Mid!AB$5:AB$167)</f>
        <v>0</v>
      </c>
      <c r="H163">
        <f ca="1">SUMIF(Top!$W$5:$W$168,$B163,Top!AC$5:AC$167)+SUMIF(Mid!$W$5:$W$168,$B163,Mid!AC$5:AC$167)</f>
        <v>0</v>
      </c>
      <c r="I163">
        <f ca="1">SUMIF(Top!$W$5:$W$168,$B163,Top!AD$5:AD$167)+SUMIF(Mid!$W$5:$W$168,$B163,Mid!AD$5:AD$167)</f>
        <v>0</v>
      </c>
      <c r="J163">
        <f ca="1">SUMIF(Top!$W$5:$W$168,$B163,Top!AE$5:AE$167)+SUMIF(Mid!$W$5:$W$168,$B163,Mid!AE$5:AE$167)</f>
        <v>0</v>
      </c>
      <c r="K163">
        <f ca="1">SUMIF(Top!$W$5:$W$168,$B163,Top!AF$5:AF$167)+SUMIF(Mid!$W$5:$W$168,$B163,Mid!AF$5:AF$167)</f>
        <v>0</v>
      </c>
      <c r="L163">
        <f ca="1">SUMIF(Top!$W$5:$W$168,$B163,Top!AG$5:AG$167)+SUMIF(Mid!$W$5:$W$168,$B163,Mid!AG$5:AG$167)</f>
        <v>0</v>
      </c>
      <c r="M163">
        <f ca="1">SUMIF(Top!$W$5:$W$168,$B163,Top!AH$5:AH$167)+SUMIF(Mid!$W$5:$W$168,$B163,Mid!AH$5:AH$167)</f>
        <v>0</v>
      </c>
      <c r="N163">
        <f ca="1">SUMIF(Top!$W$5:$W$168,$B163,Top!AI$5:AI$167)+SUMIF(Mid!$W$5:$W$168,$B163,Mid!AI$5:AI$167)</f>
        <v>0</v>
      </c>
      <c r="O163">
        <f ca="1">SUMIF(Top!$W$5:$W$168,$B163,Top!AJ$5:AJ$167)+SUMIF(Mid!$W$5:$W$168,$B163,Mid!AJ$5:AJ$167)</f>
        <v>0</v>
      </c>
      <c r="P163">
        <f ca="1">SUMIF(Top!$W$5:$W$168,$B163,Top!AK$5:AK$167)+SUMIF(Mid!$W$5:$W$168,$B163,Mid!AK$5:AK$167)</f>
        <v>0</v>
      </c>
      <c r="Q163">
        <f t="shared" ca="1" si="4"/>
        <v>37</v>
      </c>
      <c r="R163" s="17">
        <f t="shared" ca="1" si="5"/>
        <v>18.5</v>
      </c>
    </row>
    <row r="164" spans="2:18" x14ac:dyDescent="0.25">
      <c r="B164" t="s">
        <v>179</v>
      </c>
      <c r="C164">
        <f ca="1">SUMIF(Top!$W$5:$W$168,$B164,Top!X$5:X$167)+SUMIF(Mid!$W$5:$W$168,$B164,Mid!X$5:X$167)</f>
        <v>0</v>
      </c>
      <c r="D164">
        <f ca="1">SUMIF(Top!$W$5:$W$168,$B164,Top!Y$5:Y$167)+SUMIF(Mid!$W$5:$W$168,$B164,Mid!Y$5:Y$167)</f>
        <v>7</v>
      </c>
      <c r="E164">
        <f ca="1">SUMIF(Top!$W$5:$W$168,$B164,Top!Z$5:Z$167)+SUMIF(Mid!$W$5:$W$168,$B164,Mid!Z$5:Z$167)</f>
        <v>0</v>
      </c>
      <c r="F164">
        <f ca="1">SUMIF(Top!$W$5:$W$168,$B164,Top!AA$5:AA$167)+SUMIF(Mid!$W$5:$W$168,$B164,Mid!AA$5:AA$167)</f>
        <v>0</v>
      </c>
      <c r="G164">
        <f ca="1">SUMIF(Top!$W$5:$W$168,$B164,Top!AB$5:AB$167)+SUMIF(Mid!$W$5:$W$168,$B164,Mid!AB$5:AB$167)</f>
        <v>0</v>
      </c>
      <c r="H164">
        <f ca="1">SUMIF(Top!$W$5:$W$168,$B164,Top!AC$5:AC$167)+SUMIF(Mid!$W$5:$W$168,$B164,Mid!AC$5:AC$167)</f>
        <v>0</v>
      </c>
      <c r="I164">
        <f ca="1">SUMIF(Top!$W$5:$W$168,$B164,Top!AD$5:AD$167)+SUMIF(Mid!$W$5:$W$168,$B164,Mid!AD$5:AD$167)</f>
        <v>0</v>
      </c>
      <c r="J164">
        <f ca="1">SUMIF(Top!$W$5:$W$168,$B164,Top!AE$5:AE$167)+SUMIF(Mid!$W$5:$W$168,$B164,Mid!AE$5:AE$167)</f>
        <v>0</v>
      </c>
      <c r="K164">
        <f ca="1">SUMIF(Top!$W$5:$W$168,$B164,Top!AF$5:AF$167)+SUMIF(Mid!$W$5:$W$168,$B164,Mid!AF$5:AF$167)</f>
        <v>0</v>
      </c>
      <c r="L164">
        <f ca="1">SUMIF(Top!$W$5:$W$168,$B164,Top!AG$5:AG$167)+SUMIF(Mid!$W$5:$W$168,$B164,Mid!AG$5:AG$167)</f>
        <v>0</v>
      </c>
      <c r="M164">
        <f ca="1">SUMIF(Top!$W$5:$W$168,$B164,Top!AH$5:AH$167)+SUMIF(Mid!$W$5:$W$168,$B164,Mid!AH$5:AH$167)</f>
        <v>0</v>
      </c>
      <c r="N164">
        <f ca="1">SUMIF(Top!$W$5:$W$168,$B164,Top!AI$5:AI$167)+SUMIF(Mid!$W$5:$W$168,$B164,Mid!AI$5:AI$167)</f>
        <v>0</v>
      </c>
      <c r="O164">
        <f ca="1">SUMIF(Top!$W$5:$W$168,$B164,Top!AJ$5:AJ$167)+SUMIF(Mid!$W$5:$W$168,$B164,Mid!AJ$5:AJ$167)</f>
        <v>0</v>
      </c>
      <c r="P164">
        <f ca="1">SUMIF(Top!$W$5:$W$168,$B164,Top!AK$5:AK$167)+SUMIF(Mid!$W$5:$W$168,$B164,Mid!AK$5:AK$167)</f>
        <v>0</v>
      </c>
      <c r="Q164">
        <f t="shared" ca="1" si="4"/>
        <v>7</v>
      </c>
      <c r="R164" s="17">
        <f t="shared" ca="1" si="5"/>
        <v>7</v>
      </c>
    </row>
    <row r="165" spans="2:18" x14ac:dyDescent="0.25">
      <c r="B165" t="s">
        <v>180</v>
      </c>
      <c r="C165">
        <f ca="1">SUMIF(Top!$W$5:$W$168,$B165,Top!X$5:X$167)+SUMIF(Mid!$W$5:$W$168,$B165,Mid!X$5:X$167)</f>
        <v>0</v>
      </c>
      <c r="D165">
        <f ca="1">SUMIF(Top!$W$5:$W$168,$B165,Top!Y$5:Y$167)+SUMIF(Mid!$W$5:$W$168,$B165,Mid!Y$5:Y$167)</f>
        <v>0</v>
      </c>
      <c r="E165">
        <f ca="1">SUMIF(Top!$W$5:$W$168,$B165,Top!Z$5:Z$167)+SUMIF(Mid!$W$5:$W$168,$B165,Mid!Z$5:Z$167)</f>
        <v>3</v>
      </c>
      <c r="F165">
        <f ca="1">SUMIF(Top!$W$5:$W$168,$B165,Top!AA$5:AA$167)+SUMIF(Mid!$W$5:$W$168,$B165,Mid!AA$5:AA$167)</f>
        <v>0</v>
      </c>
      <c r="G165">
        <f ca="1">SUMIF(Top!$W$5:$W$168,$B165,Top!AB$5:AB$167)+SUMIF(Mid!$W$5:$W$168,$B165,Mid!AB$5:AB$167)</f>
        <v>0</v>
      </c>
      <c r="H165">
        <f ca="1">SUMIF(Top!$W$5:$W$168,$B165,Top!AC$5:AC$167)+SUMIF(Mid!$W$5:$W$168,$B165,Mid!AC$5:AC$167)</f>
        <v>0</v>
      </c>
      <c r="I165">
        <f ca="1">SUMIF(Top!$W$5:$W$168,$B165,Top!AD$5:AD$167)+SUMIF(Mid!$W$5:$W$168,$B165,Mid!AD$5:AD$167)</f>
        <v>0</v>
      </c>
      <c r="J165">
        <f ca="1">SUMIF(Top!$W$5:$W$168,$B165,Top!AE$5:AE$167)+SUMIF(Mid!$W$5:$W$168,$B165,Mid!AE$5:AE$167)</f>
        <v>0</v>
      </c>
      <c r="K165">
        <f ca="1">SUMIF(Top!$W$5:$W$168,$B165,Top!AF$5:AF$167)+SUMIF(Mid!$W$5:$W$168,$B165,Mid!AF$5:AF$167)</f>
        <v>0</v>
      </c>
      <c r="L165">
        <f ca="1">SUMIF(Top!$W$5:$W$168,$B165,Top!AG$5:AG$167)+SUMIF(Mid!$W$5:$W$168,$B165,Mid!AG$5:AG$167)</f>
        <v>0</v>
      </c>
      <c r="M165">
        <f ca="1">SUMIF(Top!$W$5:$W$168,$B165,Top!AH$5:AH$167)+SUMIF(Mid!$W$5:$W$168,$B165,Mid!AH$5:AH$167)</f>
        <v>0</v>
      </c>
      <c r="N165">
        <f ca="1">SUMIF(Top!$W$5:$W$168,$B165,Top!AI$5:AI$167)+SUMIF(Mid!$W$5:$W$168,$B165,Mid!AI$5:AI$167)</f>
        <v>0</v>
      </c>
      <c r="O165">
        <f ca="1">SUMIF(Top!$W$5:$W$168,$B165,Top!AJ$5:AJ$167)+SUMIF(Mid!$W$5:$W$168,$B165,Mid!AJ$5:AJ$167)</f>
        <v>0</v>
      </c>
      <c r="P165">
        <f ca="1">SUMIF(Top!$W$5:$W$168,$B165,Top!AK$5:AK$167)+SUMIF(Mid!$W$5:$W$168,$B165,Mid!AK$5:AK$167)</f>
        <v>0</v>
      </c>
      <c r="Q165">
        <f t="shared" ca="1" si="4"/>
        <v>3</v>
      </c>
      <c r="R165" s="17">
        <f t="shared" ca="1" si="5"/>
        <v>3</v>
      </c>
    </row>
    <row r="166" spans="2:18" x14ac:dyDescent="0.25">
      <c r="B166" t="s">
        <v>181</v>
      </c>
      <c r="C166">
        <f ca="1">SUMIF(Top!$W$5:$W$168,$B166,Top!X$5:X$167)+SUMIF(Mid!$W$5:$W$168,$B166,Mid!X$5:X$167)</f>
        <v>0</v>
      </c>
      <c r="D166">
        <f ca="1">SUMIF(Top!$W$5:$W$168,$B166,Top!Y$5:Y$167)+SUMIF(Mid!$W$5:$W$168,$B166,Mid!Y$5:Y$167)</f>
        <v>0</v>
      </c>
      <c r="E166">
        <f ca="1">SUMIF(Top!$W$5:$W$168,$B166,Top!Z$5:Z$167)+SUMIF(Mid!$W$5:$W$168,$B166,Mid!Z$5:Z$167)</f>
        <v>0</v>
      </c>
      <c r="F166">
        <f ca="1">SUMIF(Top!$W$5:$W$168,$B166,Top!AA$5:AA$167)+SUMIF(Mid!$W$5:$W$168,$B166,Mid!AA$5:AA$167)</f>
        <v>0</v>
      </c>
      <c r="G166">
        <f ca="1">SUMIF(Top!$W$5:$W$168,$B166,Top!AB$5:AB$167)+SUMIF(Mid!$W$5:$W$168,$B166,Mid!AB$5:AB$167)</f>
        <v>0</v>
      </c>
      <c r="H166">
        <f ca="1">SUMIF(Top!$W$5:$W$168,$B166,Top!AC$5:AC$167)+SUMIF(Mid!$W$5:$W$168,$B166,Mid!AC$5:AC$167)</f>
        <v>0</v>
      </c>
      <c r="I166">
        <f ca="1">SUMIF(Top!$W$5:$W$168,$B166,Top!AD$5:AD$167)+SUMIF(Mid!$W$5:$W$168,$B166,Mid!AD$5:AD$167)</f>
        <v>0</v>
      </c>
      <c r="J166">
        <f ca="1">SUMIF(Top!$W$5:$W$168,$B166,Top!AE$5:AE$167)+SUMIF(Mid!$W$5:$W$168,$B166,Mid!AE$5:AE$167)</f>
        <v>0</v>
      </c>
      <c r="K166">
        <f ca="1">SUMIF(Top!$W$5:$W$168,$B166,Top!AF$5:AF$167)+SUMIF(Mid!$W$5:$W$168,$B166,Mid!AF$5:AF$167)</f>
        <v>0</v>
      </c>
      <c r="L166">
        <f ca="1">SUMIF(Top!$W$5:$W$168,$B166,Top!AG$5:AG$167)+SUMIF(Mid!$W$5:$W$168,$B166,Mid!AG$5:AG$167)</f>
        <v>0</v>
      </c>
      <c r="M166">
        <f ca="1">SUMIF(Top!$W$5:$W$168,$B166,Top!AH$5:AH$167)+SUMIF(Mid!$W$5:$W$168,$B166,Mid!AH$5:AH$167)</f>
        <v>0</v>
      </c>
      <c r="N166">
        <f ca="1">SUMIF(Top!$W$5:$W$168,$B166,Top!AI$5:AI$167)+SUMIF(Mid!$W$5:$W$168,$B166,Mid!AI$5:AI$167)</f>
        <v>0</v>
      </c>
      <c r="O166">
        <f ca="1">SUMIF(Top!$W$5:$W$168,$B166,Top!AJ$5:AJ$167)+SUMIF(Mid!$W$5:$W$168,$B166,Mid!AJ$5:AJ$167)</f>
        <v>0</v>
      </c>
      <c r="P166">
        <f ca="1">SUMIF(Top!$W$5:$W$168,$B166,Top!AK$5:AK$167)+SUMIF(Mid!$W$5:$W$168,$B166,Mid!AK$5:AK$167)</f>
        <v>0</v>
      </c>
      <c r="Q166">
        <f t="shared" ca="1" si="4"/>
        <v>0</v>
      </c>
      <c r="R166" s="17">
        <f t="shared" ca="1" si="5"/>
        <v>0</v>
      </c>
    </row>
    <row r="167" spans="2:18" x14ac:dyDescent="0.25">
      <c r="B167" t="s">
        <v>182</v>
      </c>
      <c r="C167">
        <f ca="1">SUMIF(Top!$W$5:$W$168,$B167,Top!X$5:X$167)+SUMIF(Mid!$W$5:$W$168,$B167,Mid!X$5:X$167)</f>
        <v>0</v>
      </c>
      <c r="D167">
        <f ca="1">SUMIF(Top!$W$5:$W$168,$B167,Top!Y$5:Y$167)+SUMIF(Mid!$W$5:$W$168,$B167,Mid!Y$5:Y$167)</f>
        <v>0</v>
      </c>
      <c r="E167">
        <f ca="1">SUMIF(Top!$W$5:$W$168,$B167,Top!Z$5:Z$167)+SUMIF(Mid!$W$5:$W$168,$B167,Mid!Z$5:Z$167)</f>
        <v>0</v>
      </c>
      <c r="F167">
        <f ca="1">SUMIF(Top!$W$5:$W$168,$B167,Top!AA$5:AA$167)+SUMIF(Mid!$W$5:$W$168,$B167,Mid!AA$5:AA$167)</f>
        <v>0</v>
      </c>
      <c r="G167">
        <f ca="1">SUMIF(Top!$W$5:$W$168,$B167,Top!AB$5:AB$167)+SUMIF(Mid!$W$5:$W$168,$B167,Mid!AB$5:AB$167)</f>
        <v>0</v>
      </c>
      <c r="H167">
        <f ca="1">SUMIF(Top!$W$5:$W$168,$B167,Top!AC$5:AC$167)+SUMIF(Mid!$W$5:$W$168,$B167,Mid!AC$5:AC$167)</f>
        <v>0</v>
      </c>
      <c r="I167">
        <f ca="1">SUMIF(Top!$W$5:$W$168,$B167,Top!AD$5:AD$167)+SUMIF(Mid!$W$5:$W$168,$B167,Mid!AD$5:AD$167)</f>
        <v>0</v>
      </c>
      <c r="J167">
        <f ca="1">SUMIF(Top!$W$5:$W$168,$B167,Top!AE$5:AE$167)+SUMIF(Mid!$W$5:$W$168,$B167,Mid!AE$5:AE$167)</f>
        <v>0</v>
      </c>
      <c r="K167">
        <f ca="1">SUMIF(Top!$W$5:$W$168,$B167,Top!AF$5:AF$167)+SUMIF(Mid!$W$5:$W$168,$B167,Mid!AF$5:AF$167)</f>
        <v>0</v>
      </c>
      <c r="L167">
        <f ca="1">SUMIF(Top!$W$5:$W$168,$B167,Top!AG$5:AG$167)+SUMIF(Mid!$W$5:$W$168,$B167,Mid!AG$5:AG$167)</f>
        <v>0</v>
      </c>
      <c r="M167">
        <f ca="1">SUMIF(Top!$W$5:$W$168,$B167,Top!AH$5:AH$167)+SUMIF(Mid!$W$5:$W$168,$B167,Mid!AH$5:AH$167)</f>
        <v>0</v>
      </c>
      <c r="N167">
        <f ca="1">SUMIF(Top!$W$5:$W$168,$B167,Top!AI$5:AI$167)+SUMIF(Mid!$W$5:$W$168,$B167,Mid!AI$5:AI$167)</f>
        <v>0</v>
      </c>
      <c r="O167">
        <f ca="1">SUMIF(Top!$W$5:$W$168,$B167,Top!AJ$5:AJ$167)+SUMIF(Mid!$W$5:$W$168,$B167,Mid!AJ$5:AJ$167)</f>
        <v>0</v>
      </c>
      <c r="P167">
        <f ca="1">SUMIF(Top!$W$5:$W$168,$B167,Top!AK$5:AK$167)+SUMIF(Mid!$W$5:$W$168,$B167,Mid!AK$5:AK$167)</f>
        <v>0</v>
      </c>
      <c r="Q167">
        <f t="shared" ca="1" si="4"/>
        <v>0</v>
      </c>
      <c r="R167" s="17">
        <f t="shared" ca="1" si="5"/>
        <v>0</v>
      </c>
    </row>
    <row r="168" spans="2:18" x14ac:dyDescent="0.25">
      <c r="B168" t="s">
        <v>184</v>
      </c>
      <c r="C168">
        <f ca="1">SUMIF(Top!$W$5:$W$168,$B168,Top!X$5:X$167)+SUMIF(Mid!$W$5:$W$168,$B168,Mid!X$5:X$167)</f>
        <v>0</v>
      </c>
      <c r="D168">
        <f ca="1">SUMIF(Top!$W$5:$W$168,$B168,Top!Y$5:Y$167)+SUMIF(Mid!$W$5:$W$168,$B168,Mid!Y$5:Y$167)</f>
        <v>0</v>
      </c>
      <c r="E168">
        <f ca="1">SUMIF(Top!$W$5:$W$168,$B168,Top!Z$5:Z$167)+SUMIF(Mid!$W$5:$W$168,$B168,Mid!Z$5:Z$167)</f>
        <v>0</v>
      </c>
      <c r="F168">
        <f ca="1">SUMIF(Top!$W$5:$W$168,$B168,Top!AA$5:AA$167)+SUMIF(Mid!$W$5:$W$168,$B168,Mid!AA$5:AA$167)</f>
        <v>0</v>
      </c>
      <c r="G168">
        <f ca="1">SUMIF(Top!$W$5:$W$168,$B168,Top!AB$5:AB$167)+SUMIF(Mid!$W$5:$W$168,$B168,Mid!AB$5:AB$167)</f>
        <v>0</v>
      </c>
      <c r="H168">
        <f ca="1">SUMIF(Top!$W$5:$W$168,$B168,Top!AC$5:AC$167)+SUMIF(Mid!$W$5:$W$168,$B168,Mid!AC$5:AC$167)</f>
        <v>0</v>
      </c>
      <c r="I168">
        <f ca="1">SUMIF(Top!$W$5:$W$168,$B168,Top!AD$5:AD$167)+SUMIF(Mid!$W$5:$W$168,$B168,Mid!AD$5:AD$167)</f>
        <v>0</v>
      </c>
      <c r="J168">
        <f ca="1">SUMIF(Top!$W$5:$W$168,$B168,Top!AE$5:AE$167)+SUMIF(Mid!$W$5:$W$168,$B168,Mid!AE$5:AE$167)</f>
        <v>0</v>
      </c>
      <c r="K168">
        <f ca="1">SUMIF(Top!$W$5:$W$168,$B168,Top!AF$5:AF$167)+SUMIF(Mid!$W$5:$W$168,$B168,Mid!AF$5:AF$167)</f>
        <v>0</v>
      </c>
      <c r="L168">
        <f ca="1">SUMIF(Top!$W$5:$W$168,$B168,Top!AG$5:AG$167)+SUMIF(Mid!$W$5:$W$168,$B168,Mid!AG$5:AG$167)</f>
        <v>0</v>
      </c>
      <c r="M168">
        <f ca="1">SUMIF(Top!$W$5:$W$168,$B168,Top!AH$5:AH$167)+SUMIF(Mid!$W$5:$W$168,$B168,Mid!AH$5:AH$167)</f>
        <v>0</v>
      </c>
      <c r="N168">
        <f ca="1">SUMIF(Top!$W$5:$W$168,$B168,Top!AI$5:AI$167)+SUMIF(Mid!$W$5:$W$168,$B168,Mid!AI$5:AI$167)</f>
        <v>0</v>
      </c>
      <c r="O168">
        <f ca="1">SUMIF(Top!$W$5:$W$168,$B168,Top!AJ$5:AJ$167)+SUMIF(Mid!$W$5:$W$168,$B168,Mid!AJ$5:AJ$167)</f>
        <v>0</v>
      </c>
      <c r="P168">
        <f ca="1">SUMIF(Top!$W$5:$W$168,$B168,Top!AK$5:AK$167)+SUMIF(Mid!$W$5:$W$168,$B168,Mid!AK$5:AK$167)</f>
        <v>0</v>
      </c>
      <c r="Q168">
        <f t="shared" ca="1" si="4"/>
        <v>0</v>
      </c>
      <c r="R168" s="17">
        <f t="shared" ca="1" si="5"/>
        <v>0</v>
      </c>
    </row>
    <row r="169" spans="2:18" x14ac:dyDescent="0.25">
      <c r="B169" t="s">
        <v>185</v>
      </c>
      <c r="C169">
        <f ca="1">SUMIF(Top!$W$5:$W$168,$B169,Top!X$5:X$167)+SUMIF(Mid!$W$5:$W$168,$B169,Mid!X$5:X$167)</f>
        <v>0</v>
      </c>
      <c r="D169">
        <f ca="1">SUMIF(Top!$W$5:$W$168,$B169,Top!Y$5:Y$167)+SUMIF(Mid!$W$5:$W$168,$B169,Mid!Y$5:Y$167)</f>
        <v>8</v>
      </c>
      <c r="E169">
        <f ca="1">SUMIF(Top!$W$5:$W$168,$B169,Top!Z$5:Z$167)+SUMIF(Mid!$W$5:$W$168,$B169,Mid!Z$5:Z$167)</f>
        <v>0</v>
      </c>
      <c r="F169">
        <f ca="1">SUMIF(Top!$W$5:$W$168,$B169,Top!AA$5:AA$167)+SUMIF(Mid!$W$5:$W$168,$B169,Mid!AA$5:AA$167)</f>
        <v>0</v>
      </c>
      <c r="G169">
        <f ca="1">SUMIF(Top!$W$5:$W$168,$B169,Top!AB$5:AB$167)+SUMIF(Mid!$W$5:$W$168,$B169,Mid!AB$5:AB$167)</f>
        <v>0</v>
      </c>
      <c r="H169">
        <f ca="1">SUMIF(Top!$W$5:$W$168,$B169,Top!AC$5:AC$167)+SUMIF(Mid!$W$5:$W$168,$B169,Mid!AC$5:AC$167)</f>
        <v>0</v>
      </c>
      <c r="I169">
        <f ca="1">SUMIF(Top!$W$5:$W$168,$B169,Top!AD$5:AD$167)+SUMIF(Mid!$W$5:$W$168,$B169,Mid!AD$5:AD$167)</f>
        <v>0</v>
      </c>
      <c r="J169">
        <f ca="1">SUMIF(Top!$W$5:$W$168,$B169,Top!AE$5:AE$167)+SUMIF(Mid!$W$5:$W$168,$B169,Mid!AE$5:AE$167)</f>
        <v>0</v>
      </c>
      <c r="K169">
        <f ca="1">SUMIF(Top!$W$5:$W$168,$B169,Top!AF$5:AF$167)+SUMIF(Mid!$W$5:$W$168,$B169,Mid!AF$5:AF$167)</f>
        <v>0</v>
      </c>
      <c r="L169">
        <f ca="1">SUMIF(Top!$W$5:$W$168,$B169,Top!AG$5:AG$167)+SUMIF(Mid!$W$5:$W$168,$B169,Mid!AG$5:AG$167)</f>
        <v>0</v>
      </c>
      <c r="M169">
        <f ca="1">SUMIF(Top!$W$5:$W$168,$B169,Top!AH$5:AH$167)+SUMIF(Mid!$W$5:$W$168,$B169,Mid!AH$5:AH$167)</f>
        <v>0</v>
      </c>
      <c r="N169">
        <f ca="1">SUMIF(Top!$W$5:$W$168,$B169,Top!AI$5:AI$167)+SUMIF(Mid!$W$5:$W$168,$B169,Mid!AI$5:AI$167)</f>
        <v>0</v>
      </c>
      <c r="O169">
        <f ca="1">SUMIF(Top!$W$5:$W$168,$B169,Top!AJ$5:AJ$167)+SUMIF(Mid!$W$5:$W$168,$B169,Mid!AJ$5:AJ$167)</f>
        <v>0</v>
      </c>
      <c r="P169">
        <f ca="1">SUMIF(Top!$W$5:$W$168,$B169,Top!AK$5:AK$167)+SUMIF(Mid!$W$5:$W$168,$B169,Mid!AK$5:AK$167)</f>
        <v>0</v>
      </c>
      <c r="Q169">
        <f t="shared" ca="1" si="4"/>
        <v>8</v>
      </c>
      <c r="R169" s="17">
        <f t="shared" ca="1" si="5"/>
        <v>8</v>
      </c>
    </row>
    <row r="170" spans="2:18" x14ac:dyDescent="0.25">
      <c r="B170" t="s">
        <v>186</v>
      </c>
      <c r="C170">
        <f ca="1">SUMIF(Top!$W$5:$W$168,$B170,Top!X$5:X$167)+SUMIF(Mid!$W$5:$W$168,$B170,Mid!X$5:X$167)</f>
        <v>0</v>
      </c>
      <c r="D170">
        <f ca="1">SUMIF(Top!$W$5:$W$168,$B170,Top!Y$5:Y$167)+SUMIF(Mid!$W$5:$W$168,$B170,Mid!Y$5:Y$167)</f>
        <v>0</v>
      </c>
      <c r="E170">
        <f ca="1">SUMIF(Top!$W$5:$W$168,$B170,Top!Z$5:Z$167)+SUMIF(Mid!$W$5:$W$168,$B170,Mid!Z$5:Z$167)</f>
        <v>0</v>
      </c>
      <c r="F170">
        <f ca="1">SUMIF(Top!$W$5:$W$168,$B170,Top!AA$5:AA$167)+SUMIF(Mid!$W$5:$W$168,$B170,Mid!AA$5:AA$167)</f>
        <v>0</v>
      </c>
      <c r="G170">
        <f ca="1">SUMIF(Top!$W$5:$W$168,$B170,Top!AB$5:AB$167)+SUMIF(Mid!$W$5:$W$168,$B170,Mid!AB$5:AB$167)</f>
        <v>0</v>
      </c>
      <c r="H170">
        <f ca="1">SUMIF(Top!$W$5:$W$168,$B170,Top!AC$5:AC$167)+SUMIF(Mid!$W$5:$W$168,$B170,Mid!AC$5:AC$167)</f>
        <v>0</v>
      </c>
      <c r="I170">
        <f ca="1">SUMIF(Top!$W$5:$W$168,$B170,Top!AD$5:AD$167)+SUMIF(Mid!$W$5:$W$168,$B170,Mid!AD$5:AD$167)</f>
        <v>0</v>
      </c>
      <c r="J170">
        <f ca="1">SUMIF(Top!$W$5:$W$168,$B170,Top!AE$5:AE$167)+SUMIF(Mid!$W$5:$W$168,$B170,Mid!AE$5:AE$167)</f>
        <v>0</v>
      </c>
      <c r="K170">
        <f ca="1">SUMIF(Top!$W$5:$W$168,$B170,Top!AF$5:AF$167)+SUMIF(Mid!$W$5:$W$168,$B170,Mid!AF$5:AF$167)</f>
        <v>0</v>
      </c>
      <c r="L170">
        <f ca="1">SUMIF(Top!$W$5:$W$168,$B170,Top!AG$5:AG$167)+SUMIF(Mid!$W$5:$W$168,$B170,Mid!AG$5:AG$167)</f>
        <v>0</v>
      </c>
      <c r="M170">
        <f ca="1">SUMIF(Top!$W$5:$W$168,$B170,Top!AH$5:AH$167)+SUMIF(Mid!$W$5:$W$168,$B170,Mid!AH$5:AH$167)</f>
        <v>0</v>
      </c>
      <c r="N170">
        <f ca="1">SUMIF(Top!$W$5:$W$168,$B170,Top!AI$5:AI$167)+SUMIF(Mid!$W$5:$W$168,$B170,Mid!AI$5:AI$167)</f>
        <v>0</v>
      </c>
      <c r="O170">
        <f ca="1">SUMIF(Top!$W$5:$W$168,$B170,Top!AJ$5:AJ$167)+SUMIF(Mid!$W$5:$W$168,$B170,Mid!AJ$5:AJ$167)</f>
        <v>0</v>
      </c>
      <c r="P170">
        <f ca="1">SUMIF(Top!$W$5:$W$168,$B170,Top!AK$5:AK$167)+SUMIF(Mid!$W$5:$W$168,$B170,Mid!AK$5:AK$167)</f>
        <v>0</v>
      </c>
      <c r="Q170">
        <f t="shared" ca="1" si="4"/>
        <v>0</v>
      </c>
      <c r="R170" s="17">
        <f t="shared" ca="1" si="5"/>
        <v>0</v>
      </c>
    </row>
    <row r="171" spans="2:18" x14ac:dyDescent="0.25">
      <c r="B171" t="s">
        <v>188</v>
      </c>
      <c r="C171">
        <f ca="1">SUMIF(Top!$W$5:$W$168,$B171,Top!X$5:X$167)+SUMIF(Mid!$W$5:$W$168,$B171,Mid!X$5:X$167)</f>
        <v>0</v>
      </c>
      <c r="D171">
        <f ca="1">SUMIF(Top!$W$5:$W$168,$B171,Top!Y$5:Y$167)+SUMIF(Mid!$W$5:$W$168,$B171,Mid!Y$5:Y$167)</f>
        <v>0</v>
      </c>
      <c r="E171">
        <f ca="1">SUMIF(Top!$W$5:$W$168,$B171,Top!Z$5:Z$167)+SUMIF(Mid!$W$5:$W$168,$B171,Mid!Z$5:Z$167)</f>
        <v>0</v>
      </c>
      <c r="F171">
        <f ca="1">SUMIF(Top!$W$5:$W$168,$B171,Top!AA$5:AA$167)+SUMIF(Mid!$W$5:$W$168,$B171,Mid!AA$5:AA$167)</f>
        <v>0</v>
      </c>
      <c r="G171">
        <f ca="1">SUMIF(Top!$W$5:$W$168,$B171,Top!AB$5:AB$167)+SUMIF(Mid!$W$5:$W$168,$B171,Mid!AB$5:AB$167)</f>
        <v>0</v>
      </c>
      <c r="H171">
        <f ca="1">SUMIF(Top!$W$5:$W$168,$B171,Top!AC$5:AC$167)+SUMIF(Mid!$W$5:$W$168,$B171,Mid!AC$5:AC$167)</f>
        <v>0</v>
      </c>
      <c r="I171">
        <f ca="1">SUMIF(Top!$W$5:$W$168,$B171,Top!AD$5:AD$167)+SUMIF(Mid!$W$5:$W$168,$B171,Mid!AD$5:AD$167)</f>
        <v>0</v>
      </c>
      <c r="J171">
        <f ca="1">SUMIF(Top!$W$5:$W$168,$B171,Top!AE$5:AE$167)+SUMIF(Mid!$W$5:$W$168,$B171,Mid!AE$5:AE$167)</f>
        <v>0</v>
      </c>
      <c r="K171">
        <f ca="1">SUMIF(Top!$W$5:$W$168,$B171,Top!AF$5:AF$167)+SUMIF(Mid!$W$5:$W$168,$B171,Mid!AF$5:AF$167)</f>
        <v>0</v>
      </c>
      <c r="L171">
        <f ca="1">SUMIF(Top!$W$5:$W$168,$B171,Top!AG$5:AG$167)+SUMIF(Mid!$W$5:$W$168,$B171,Mid!AG$5:AG$167)</f>
        <v>0</v>
      </c>
      <c r="M171">
        <f ca="1">SUMIF(Top!$W$5:$W$168,$B171,Top!AH$5:AH$167)+SUMIF(Mid!$W$5:$W$168,$B171,Mid!AH$5:AH$167)</f>
        <v>0</v>
      </c>
      <c r="N171">
        <f ca="1">SUMIF(Top!$W$5:$W$168,$B171,Top!AI$5:AI$167)+SUMIF(Mid!$W$5:$W$168,$B171,Mid!AI$5:AI$167)</f>
        <v>0</v>
      </c>
      <c r="O171">
        <f ca="1">SUMIF(Top!$W$5:$W$168,$B171,Top!AJ$5:AJ$167)+SUMIF(Mid!$W$5:$W$168,$B171,Mid!AJ$5:AJ$167)</f>
        <v>0</v>
      </c>
      <c r="P171">
        <f ca="1">SUMIF(Top!$W$5:$W$168,$B171,Top!AK$5:AK$167)+SUMIF(Mid!$W$5:$W$168,$B171,Mid!AK$5:AK$167)</f>
        <v>0</v>
      </c>
      <c r="Q171">
        <f t="shared" ca="1" si="4"/>
        <v>0</v>
      </c>
      <c r="R171" s="17">
        <f t="shared" ca="1" si="5"/>
        <v>0</v>
      </c>
    </row>
    <row r="172" spans="2:18" x14ac:dyDescent="0.25">
      <c r="B172" t="s">
        <v>189</v>
      </c>
      <c r="C172">
        <f ca="1">SUMIF(Top!$W$5:$W$168,$B172,Top!X$5:X$167)+SUMIF(Mid!$W$5:$W$168,$B172,Mid!X$5:X$167)</f>
        <v>0</v>
      </c>
      <c r="D172">
        <f ca="1">SUMIF(Top!$W$5:$W$168,$B172,Top!Y$5:Y$167)+SUMIF(Mid!$W$5:$W$168,$B172,Mid!Y$5:Y$167)</f>
        <v>0</v>
      </c>
      <c r="E172">
        <f ca="1">SUMIF(Top!$W$5:$W$168,$B172,Top!Z$5:Z$167)+SUMIF(Mid!$W$5:$W$168,$B172,Mid!Z$5:Z$167)</f>
        <v>0</v>
      </c>
      <c r="F172">
        <f ca="1">SUMIF(Top!$W$5:$W$168,$B172,Top!AA$5:AA$167)+SUMIF(Mid!$W$5:$W$168,$B172,Mid!AA$5:AA$167)</f>
        <v>0</v>
      </c>
      <c r="G172">
        <f ca="1">SUMIF(Top!$W$5:$W$168,$B172,Top!AB$5:AB$167)+SUMIF(Mid!$W$5:$W$168,$B172,Mid!AB$5:AB$167)</f>
        <v>0</v>
      </c>
      <c r="H172">
        <f ca="1">SUMIF(Top!$W$5:$W$168,$B172,Top!AC$5:AC$167)+SUMIF(Mid!$W$5:$W$168,$B172,Mid!AC$5:AC$167)</f>
        <v>0</v>
      </c>
      <c r="I172">
        <f ca="1">SUMIF(Top!$W$5:$W$168,$B172,Top!AD$5:AD$167)+SUMIF(Mid!$W$5:$W$168,$B172,Mid!AD$5:AD$167)</f>
        <v>0</v>
      </c>
      <c r="J172">
        <f ca="1">SUMIF(Top!$W$5:$W$168,$B172,Top!AE$5:AE$167)+SUMIF(Mid!$W$5:$W$168,$B172,Mid!AE$5:AE$167)</f>
        <v>0</v>
      </c>
      <c r="K172">
        <f ca="1">SUMIF(Top!$W$5:$W$168,$B172,Top!AF$5:AF$167)+SUMIF(Mid!$W$5:$W$168,$B172,Mid!AF$5:AF$167)</f>
        <v>0</v>
      </c>
      <c r="L172">
        <f ca="1">SUMIF(Top!$W$5:$W$168,$B172,Top!AG$5:AG$167)+SUMIF(Mid!$W$5:$W$168,$B172,Mid!AG$5:AG$167)</f>
        <v>0</v>
      </c>
      <c r="M172">
        <f ca="1">SUMIF(Top!$W$5:$W$168,$B172,Top!AH$5:AH$167)+SUMIF(Mid!$W$5:$W$168,$B172,Mid!AH$5:AH$167)</f>
        <v>0</v>
      </c>
      <c r="N172">
        <f ca="1">SUMIF(Top!$W$5:$W$168,$B172,Top!AI$5:AI$167)+SUMIF(Mid!$W$5:$W$168,$B172,Mid!AI$5:AI$167)</f>
        <v>0</v>
      </c>
      <c r="O172">
        <f ca="1">SUMIF(Top!$W$5:$W$168,$B172,Top!AJ$5:AJ$167)+SUMIF(Mid!$W$5:$W$168,$B172,Mid!AJ$5:AJ$167)</f>
        <v>0</v>
      </c>
      <c r="P172">
        <f ca="1">SUMIF(Top!$W$5:$W$168,$B172,Top!AK$5:AK$167)+SUMIF(Mid!$W$5:$W$168,$B172,Mid!AK$5:AK$167)</f>
        <v>0</v>
      </c>
      <c r="Q172">
        <f t="shared" ca="1" si="4"/>
        <v>0</v>
      </c>
      <c r="R172" s="17">
        <f t="shared" ca="1" si="5"/>
        <v>0</v>
      </c>
    </row>
    <row r="173" spans="2:18" x14ac:dyDescent="0.25">
      <c r="B173" t="s">
        <v>192</v>
      </c>
      <c r="C173">
        <f ca="1">SUMIF(Top!$W$5:$W$168,$B173,Top!X$5:X$167)+SUMIF(Mid!$W$5:$W$168,$B173,Mid!X$5:X$167)</f>
        <v>0</v>
      </c>
      <c r="D173">
        <f ca="1">SUMIF(Top!$W$5:$W$168,$B173,Top!Y$5:Y$167)+SUMIF(Mid!$W$5:$W$168,$B173,Mid!Y$5:Y$167)</f>
        <v>0</v>
      </c>
      <c r="E173">
        <f ca="1">SUMIF(Top!$W$5:$W$168,$B173,Top!Z$5:Z$167)+SUMIF(Mid!$W$5:$W$168,$B173,Mid!Z$5:Z$167)</f>
        <v>0</v>
      </c>
      <c r="F173">
        <f ca="1">SUMIF(Top!$W$5:$W$168,$B173,Top!AA$5:AA$167)+SUMIF(Mid!$W$5:$W$168,$B173,Mid!AA$5:AA$167)</f>
        <v>0</v>
      </c>
      <c r="G173">
        <f ca="1">SUMIF(Top!$W$5:$W$168,$B173,Top!AB$5:AB$167)+SUMIF(Mid!$W$5:$W$168,$B173,Mid!AB$5:AB$167)</f>
        <v>0</v>
      </c>
      <c r="H173">
        <f ca="1">SUMIF(Top!$W$5:$W$168,$B173,Top!AC$5:AC$167)+SUMIF(Mid!$W$5:$W$168,$B173,Mid!AC$5:AC$167)</f>
        <v>0</v>
      </c>
      <c r="I173">
        <f ca="1">SUMIF(Top!$W$5:$W$168,$B173,Top!AD$5:AD$167)+SUMIF(Mid!$W$5:$W$168,$B173,Mid!AD$5:AD$167)</f>
        <v>0</v>
      </c>
      <c r="J173">
        <f ca="1">SUMIF(Top!$W$5:$W$168,$B173,Top!AE$5:AE$167)+SUMIF(Mid!$W$5:$W$168,$B173,Mid!AE$5:AE$167)</f>
        <v>0</v>
      </c>
      <c r="K173">
        <f ca="1">SUMIF(Top!$W$5:$W$168,$B173,Top!AF$5:AF$167)+SUMIF(Mid!$W$5:$W$168,$B173,Mid!AF$5:AF$167)</f>
        <v>0</v>
      </c>
      <c r="L173">
        <f ca="1">SUMIF(Top!$W$5:$W$168,$B173,Top!AG$5:AG$167)+SUMIF(Mid!$W$5:$W$168,$B173,Mid!AG$5:AG$167)</f>
        <v>0</v>
      </c>
      <c r="M173">
        <f ca="1">SUMIF(Top!$W$5:$W$168,$B173,Top!AH$5:AH$167)+SUMIF(Mid!$W$5:$W$168,$B173,Mid!AH$5:AH$167)</f>
        <v>0</v>
      </c>
      <c r="N173">
        <f ca="1">SUMIF(Top!$W$5:$W$168,$B173,Top!AI$5:AI$167)+SUMIF(Mid!$W$5:$W$168,$B173,Mid!AI$5:AI$167)</f>
        <v>0</v>
      </c>
      <c r="O173">
        <f ca="1">SUMIF(Top!$W$5:$W$168,$B173,Top!AJ$5:AJ$167)+SUMIF(Mid!$W$5:$W$168,$B173,Mid!AJ$5:AJ$167)</f>
        <v>0</v>
      </c>
      <c r="P173">
        <f ca="1">SUMIF(Top!$W$5:$W$168,$B173,Top!AK$5:AK$167)+SUMIF(Mid!$W$5:$W$168,$B173,Mid!AK$5:AK$167)</f>
        <v>0</v>
      </c>
      <c r="Q173">
        <f t="shared" ca="1" si="4"/>
        <v>0</v>
      </c>
      <c r="R173" s="17">
        <f t="shared" ca="1" si="5"/>
        <v>0</v>
      </c>
    </row>
    <row r="174" spans="2:18" x14ac:dyDescent="0.25">
      <c r="B174" t="s">
        <v>193</v>
      </c>
      <c r="C174">
        <f ca="1">SUMIF(Top!$W$5:$W$168,$B174,Top!X$5:X$167)+SUMIF(Mid!$W$5:$W$168,$B174,Mid!X$5:X$167)</f>
        <v>0</v>
      </c>
      <c r="D174">
        <f ca="1">SUMIF(Top!$W$5:$W$168,$B174,Top!Y$5:Y$167)+SUMIF(Mid!$W$5:$W$168,$B174,Mid!Y$5:Y$167)</f>
        <v>0</v>
      </c>
      <c r="E174">
        <f ca="1">SUMIF(Top!$W$5:$W$168,$B174,Top!Z$5:Z$167)+SUMIF(Mid!$W$5:$W$168,$B174,Mid!Z$5:Z$167)</f>
        <v>0</v>
      </c>
      <c r="F174">
        <f ca="1">SUMIF(Top!$W$5:$W$168,$B174,Top!AA$5:AA$167)+SUMIF(Mid!$W$5:$W$168,$B174,Mid!AA$5:AA$167)</f>
        <v>0</v>
      </c>
      <c r="G174">
        <f ca="1">SUMIF(Top!$W$5:$W$168,$B174,Top!AB$5:AB$167)+SUMIF(Mid!$W$5:$W$168,$B174,Mid!AB$5:AB$167)</f>
        <v>0</v>
      </c>
      <c r="H174">
        <f ca="1">SUMIF(Top!$W$5:$W$168,$B174,Top!AC$5:AC$167)+SUMIF(Mid!$W$5:$W$168,$B174,Mid!AC$5:AC$167)</f>
        <v>0</v>
      </c>
      <c r="I174">
        <f ca="1">SUMIF(Top!$W$5:$W$168,$B174,Top!AD$5:AD$167)+SUMIF(Mid!$W$5:$W$168,$B174,Mid!AD$5:AD$167)</f>
        <v>0</v>
      </c>
      <c r="J174">
        <f ca="1">SUMIF(Top!$W$5:$W$168,$B174,Top!AE$5:AE$167)+SUMIF(Mid!$W$5:$W$168,$B174,Mid!AE$5:AE$167)</f>
        <v>0</v>
      </c>
      <c r="K174">
        <f ca="1">SUMIF(Top!$W$5:$W$168,$B174,Top!AF$5:AF$167)+SUMIF(Mid!$W$5:$W$168,$B174,Mid!AF$5:AF$167)</f>
        <v>0</v>
      </c>
      <c r="L174">
        <f ca="1">SUMIF(Top!$W$5:$W$168,$B174,Top!AG$5:AG$167)+SUMIF(Mid!$W$5:$W$168,$B174,Mid!AG$5:AG$167)</f>
        <v>0</v>
      </c>
      <c r="M174">
        <f ca="1">SUMIF(Top!$W$5:$W$168,$B174,Top!AH$5:AH$167)+SUMIF(Mid!$W$5:$W$168,$B174,Mid!AH$5:AH$167)</f>
        <v>0</v>
      </c>
      <c r="N174">
        <f ca="1">SUMIF(Top!$W$5:$W$168,$B174,Top!AI$5:AI$167)+SUMIF(Mid!$W$5:$W$168,$B174,Mid!AI$5:AI$167)</f>
        <v>0</v>
      </c>
      <c r="O174">
        <f ca="1">SUMIF(Top!$W$5:$W$168,$B174,Top!AJ$5:AJ$167)+SUMIF(Mid!$W$5:$W$168,$B174,Mid!AJ$5:AJ$167)</f>
        <v>0</v>
      </c>
      <c r="P174">
        <f ca="1">SUMIF(Top!$W$5:$W$168,$B174,Top!AK$5:AK$167)+SUMIF(Mid!$W$5:$W$168,$B174,Mid!AK$5:AK$167)</f>
        <v>0</v>
      </c>
      <c r="Q174">
        <f t="shared" ca="1" si="4"/>
        <v>0</v>
      </c>
      <c r="R174" s="17">
        <f t="shared" ca="1" si="5"/>
        <v>0</v>
      </c>
    </row>
    <row r="175" spans="2:18" x14ac:dyDescent="0.25">
      <c r="B175" t="s">
        <v>195</v>
      </c>
      <c r="C175">
        <f ca="1">SUMIF(Top!$W$5:$W$168,$B175,Top!X$5:X$167)+SUMIF(Mid!$W$5:$W$168,$B175,Mid!X$5:X$167)</f>
        <v>0</v>
      </c>
      <c r="D175">
        <f ca="1">SUMIF(Top!$W$5:$W$168,$B175,Top!Y$5:Y$167)+SUMIF(Mid!$W$5:$W$168,$B175,Mid!Y$5:Y$167)</f>
        <v>0</v>
      </c>
      <c r="E175">
        <f ca="1">SUMIF(Top!$W$5:$W$168,$B175,Top!Z$5:Z$167)+SUMIF(Mid!$W$5:$W$168,$B175,Mid!Z$5:Z$167)</f>
        <v>0</v>
      </c>
      <c r="F175">
        <f ca="1">SUMIF(Top!$W$5:$W$168,$B175,Top!AA$5:AA$167)+SUMIF(Mid!$W$5:$W$168,$B175,Mid!AA$5:AA$167)</f>
        <v>0</v>
      </c>
      <c r="G175">
        <f ca="1">SUMIF(Top!$W$5:$W$168,$B175,Top!AB$5:AB$167)+SUMIF(Mid!$W$5:$W$168,$B175,Mid!AB$5:AB$167)</f>
        <v>0</v>
      </c>
      <c r="H175">
        <f ca="1">SUMIF(Top!$W$5:$W$168,$B175,Top!AC$5:AC$167)+SUMIF(Mid!$W$5:$W$168,$B175,Mid!AC$5:AC$167)</f>
        <v>0</v>
      </c>
      <c r="I175">
        <f ca="1">SUMIF(Top!$W$5:$W$168,$B175,Top!AD$5:AD$167)+SUMIF(Mid!$W$5:$W$168,$B175,Mid!AD$5:AD$167)</f>
        <v>0</v>
      </c>
      <c r="J175">
        <f ca="1">SUMIF(Top!$W$5:$W$168,$B175,Top!AE$5:AE$167)+SUMIF(Mid!$W$5:$W$168,$B175,Mid!AE$5:AE$167)</f>
        <v>0</v>
      </c>
      <c r="K175">
        <f ca="1">SUMIF(Top!$W$5:$W$168,$B175,Top!AF$5:AF$167)+SUMIF(Mid!$W$5:$W$168,$B175,Mid!AF$5:AF$167)</f>
        <v>0</v>
      </c>
      <c r="L175">
        <f ca="1">SUMIF(Top!$W$5:$W$168,$B175,Top!AG$5:AG$167)+SUMIF(Mid!$W$5:$W$168,$B175,Mid!AG$5:AG$167)</f>
        <v>0</v>
      </c>
      <c r="M175">
        <f ca="1">SUMIF(Top!$W$5:$W$168,$B175,Top!AH$5:AH$167)+SUMIF(Mid!$W$5:$W$168,$B175,Mid!AH$5:AH$167)</f>
        <v>0</v>
      </c>
      <c r="N175">
        <f ca="1">SUMIF(Top!$W$5:$W$168,$B175,Top!AI$5:AI$167)+SUMIF(Mid!$W$5:$W$168,$B175,Mid!AI$5:AI$167)</f>
        <v>0</v>
      </c>
      <c r="O175">
        <f ca="1">SUMIF(Top!$W$5:$W$168,$B175,Top!AJ$5:AJ$167)+SUMIF(Mid!$W$5:$W$168,$B175,Mid!AJ$5:AJ$167)</f>
        <v>0</v>
      </c>
      <c r="P175">
        <f ca="1">SUMIF(Top!$W$5:$W$168,$B175,Top!AK$5:AK$167)+SUMIF(Mid!$W$5:$W$168,$B175,Mid!AK$5:AK$167)</f>
        <v>0</v>
      </c>
      <c r="Q175">
        <f t="shared" ca="1" si="4"/>
        <v>0</v>
      </c>
      <c r="R175" s="17">
        <f t="shared" ca="1" si="5"/>
        <v>0</v>
      </c>
    </row>
    <row r="176" spans="2:18" x14ac:dyDescent="0.25">
      <c r="B176" t="s">
        <v>196</v>
      </c>
      <c r="C176">
        <f ca="1">SUMIF(Top!$W$5:$W$168,$B176,Top!X$5:X$167)+SUMIF(Mid!$W$5:$W$168,$B176,Mid!X$5:X$167)</f>
        <v>0</v>
      </c>
      <c r="D176">
        <f ca="1">SUMIF(Top!$W$5:$W$168,$B176,Top!Y$5:Y$167)+SUMIF(Mid!$W$5:$W$168,$B176,Mid!Y$5:Y$167)</f>
        <v>0</v>
      </c>
      <c r="E176">
        <f ca="1">SUMIF(Top!$W$5:$W$168,$B176,Top!Z$5:Z$167)+SUMIF(Mid!$W$5:$W$168,$B176,Mid!Z$5:Z$167)</f>
        <v>0</v>
      </c>
      <c r="F176">
        <f ca="1">SUMIF(Top!$W$5:$W$168,$B176,Top!AA$5:AA$167)+SUMIF(Mid!$W$5:$W$168,$B176,Mid!AA$5:AA$167)</f>
        <v>0</v>
      </c>
      <c r="G176">
        <f ca="1">SUMIF(Top!$W$5:$W$168,$B176,Top!AB$5:AB$167)+SUMIF(Mid!$W$5:$W$168,$B176,Mid!AB$5:AB$167)</f>
        <v>0</v>
      </c>
      <c r="H176">
        <f ca="1">SUMIF(Top!$W$5:$W$168,$B176,Top!AC$5:AC$167)+SUMIF(Mid!$W$5:$W$168,$B176,Mid!AC$5:AC$167)</f>
        <v>0</v>
      </c>
      <c r="I176">
        <f ca="1">SUMIF(Top!$W$5:$W$168,$B176,Top!AD$5:AD$167)+SUMIF(Mid!$W$5:$W$168,$B176,Mid!AD$5:AD$167)</f>
        <v>0</v>
      </c>
      <c r="J176">
        <f ca="1">SUMIF(Top!$W$5:$W$168,$B176,Top!AE$5:AE$167)+SUMIF(Mid!$W$5:$W$168,$B176,Mid!AE$5:AE$167)</f>
        <v>0</v>
      </c>
      <c r="K176">
        <f ca="1">SUMIF(Top!$W$5:$W$168,$B176,Top!AF$5:AF$167)+SUMIF(Mid!$W$5:$W$168,$B176,Mid!AF$5:AF$167)</f>
        <v>0</v>
      </c>
      <c r="L176">
        <f ca="1">SUMIF(Top!$W$5:$W$168,$B176,Top!AG$5:AG$167)+SUMIF(Mid!$W$5:$W$168,$B176,Mid!AG$5:AG$167)</f>
        <v>0</v>
      </c>
      <c r="M176">
        <f ca="1">SUMIF(Top!$W$5:$W$168,$B176,Top!AH$5:AH$167)+SUMIF(Mid!$W$5:$W$168,$B176,Mid!AH$5:AH$167)</f>
        <v>0</v>
      </c>
      <c r="N176">
        <f ca="1">SUMIF(Top!$W$5:$W$168,$B176,Top!AI$5:AI$167)+SUMIF(Mid!$W$5:$W$168,$B176,Mid!AI$5:AI$167)</f>
        <v>0</v>
      </c>
      <c r="O176">
        <f ca="1">SUMIF(Top!$W$5:$W$168,$B176,Top!AJ$5:AJ$167)+SUMIF(Mid!$W$5:$W$168,$B176,Mid!AJ$5:AJ$167)</f>
        <v>0</v>
      </c>
      <c r="P176">
        <f ca="1">SUMIF(Top!$W$5:$W$168,$B176,Top!AK$5:AK$167)+SUMIF(Mid!$W$5:$W$168,$B176,Mid!AK$5:AK$167)</f>
        <v>0</v>
      </c>
      <c r="Q176">
        <f t="shared" ca="1" si="4"/>
        <v>0</v>
      </c>
      <c r="R176" s="17">
        <f t="shared" ca="1" si="5"/>
        <v>0</v>
      </c>
    </row>
    <row r="177" spans="2:18" x14ac:dyDescent="0.25">
      <c r="B177" t="s">
        <v>197</v>
      </c>
      <c r="C177">
        <f ca="1">SUMIF(Top!$W$5:$W$168,$B177,Top!X$5:X$167)+SUMIF(Mid!$W$5:$W$168,$B177,Mid!X$5:X$167)</f>
        <v>0</v>
      </c>
      <c r="D177">
        <f ca="1">SUMIF(Top!$W$5:$W$168,$B177,Top!Y$5:Y$167)+SUMIF(Mid!$W$5:$W$168,$B177,Mid!Y$5:Y$167)</f>
        <v>0</v>
      </c>
      <c r="E177">
        <f ca="1">SUMIF(Top!$W$5:$W$168,$B177,Top!Z$5:Z$167)+SUMIF(Mid!$W$5:$W$168,$B177,Mid!Z$5:Z$167)</f>
        <v>0</v>
      </c>
      <c r="F177">
        <f ca="1">SUMIF(Top!$W$5:$W$168,$B177,Top!AA$5:AA$167)+SUMIF(Mid!$W$5:$W$168,$B177,Mid!AA$5:AA$167)</f>
        <v>0</v>
      </c>
      <c r="G177">
        <f ca="1">SUMIF(Top!$W$5:$W$168,$B177,Top!AB$5:AB$167)+SUMIF(Mid!$W$5:$W$168,$B177,Mid!AB$5:AB$167)</f>
        <v>0</v>
      </c>
      <c r="H177">
        <f ca="1">SUMIF(Top!$W$5:$W$168,$B177,Top!AC$5:AC$167)+SUMIF(Mid!$W$5:$W$168,$B177,Mid!AC$5:AC$167)</f>
        <v>0</v>
      </c>
      <c r="I177">
        <f ca="1">SUMIF(Top!$W$5:$W$168,$B177,Top!AD$5:AD$167)+SUMIF(Mid!$W$5:$W$168,$B177,Mid!AD$5:AD$167)</f>
        <v>0</v>
      </c>
      <c r="J177">
        <f ca="1">SUMIF(Top!$W$5:$W$168,$B177,Top!AE$5:AE$167)+SUMIF(Mid!$W$5:$W$168,$B177,Mid!AE$5:AE$167)</f>
        <v>0</v>
      </c>
      <c r="K177">
        <f ca="1">SUMIF(Top!$W$5:$W$168,$B177,Top!AF$5:AF$167)+SUMIF(Mid!$W$5:$W$168,$B177,Mid!AF$5:AF$167)</f>
        <v>0</v>
      </c>
      <c r="L177">
        <f ca="1">SUMIF(Top!$W$5:$W$168,$B177,Top!AG$5:AG$167)+SUMIF(Mid!$W$5:$W$168,$B177,Mid!AG$5:AG$167)</f>
        <v>0</v>
      </c>
      <c r="M177">
        <f ca="1">SUMIF(Top!$W$5:$W$168,$B177,Top!AH$5:AH$167)+SUMIF(Mid!$W$5:$W$168,$B177,Mid!AH$5:AH$167)</f>
        <v>0</v>
      </c>
      <c r="N177">
        <f ca="1">SUMIF(Top!$W$5:$W$168,$B177,Top!AI$5:AI$167)+SUMIF(Mid!$W$5:$W$168,$B177,Mid!AI$5:AI$167)</f>
        <v>0</v>
      </c>
      <c r="O177">
        <f ca="1">SUMIF(Top!$W$5:$W$168,$B177,Top!AJ$5:AJ$167)+SUMIF(Mid!$W$5:$W$168,$B177,Mid!AJ$5:AJ$167)</f>
        <v>0</v>
      </c>
      <c r="P177">
        <f ca="1">SUMIF(Top!$W$5:$W$168,$B177,Top!AK$5:AK$167)+SUMIF(Mid!$W$5:$W$168,$B177,Mid!AK$5:AK$167)</f>
        <v>0</v>
      </c>
      <c r="Q177">
        <f t="shared" ca="1" si="4"/>
        <v>0</v>
      </c>
      <c r="R177" s="17">
        <f t="shared" ca="1" si="5"/>
        <v>0</v>
      </c>
    </row>
    <row r="178" spans="2:18" x14ac:dyDescent="0.25">
      <c r="B178" t="s">
        <v>198</v>
      </c>
      <c r="C178">
        <f ca="1">SUMIF(Top!$W$5:$W$168,$B178,Top!X$5:X$167)+SUMIF(Mid!$W$5:$W$168,$B178,Mid!X$5:X$167)</f>
        <v>0</v>
      </c>
      <c r="D178">
        <f ca="1">SUMIF(Top!$W$5:$W$168,$B178,Top!Y$5:Y$167)+SUMIF(Mid!$W$5:$W$168,$B178,Mid!Y$5:Y$167)</f>
        <v>0</v>
      </c>
      <c r="E178">
        <f ca="1">SUMIF(Top!$W$5:$W$168,$B178,Top!Z$5:Z$167)+SUMIF(Mid!$W$5:$W$168,$B178,Mid!Z$5:Z$167)</f>
        <v>0</v>
      </c>
      <c r="F178">
        <f ca="1">SUMIF(Top!$W$5:$W$168,$B178,Top!AA$5:AA$167)+SUMIF(Mid!$W$5:$W$168,$B178,Mid!AA$5:AA$167)</f>
        <v>0</v>
      </c>
      <c r="G178">
        <f ca="1">SUMIF(Top!$W$5:$W$168,$B178,Top!AB$5:AB$167)+SUMIF(Mid!$W$5:$W$168,$B178,Mid!AB$5:AB$167)</f>
        <v>0</v>
      </c>
      <c r="H178">
        <f ca="1">SUMIF(Top!$W$5:$W$168,$B178,Top!AC$5:AC$167)+SUMIF(Mid!$W$5:$W$168,$B178,Mid!AC$5:AC$167)</f>
        <v>0</v>
      </c>
      <c r="I178">
        <f ca="1">SUMIF(Top!$W$5:$W$168,$B178,Top!AD$5:AD$167)+SUMIF(Mid!$W$5:$W$168,$B178,Mid!AD$5:AD$167)</f>
        <v>0</v>
      </c>
      <c r="J178">
        <f ca="1">SUMIF(Top!$W$5:$W$168,$B178,Top!AE$5:AE$167)+SUMIF(Mid!$W$5:$W$168,$B178,Mid!AE$5:AE$167)</f>
        <v>0</v>
      </c>
      <c r="K178">
        <f ca="1">SUMIF(Top!$W$5:$W$168,$B178,Top!AF$5:AF$167)+SUMIF(Mid!$W$5:$W$168,$B178,Mid!AF$5:AF$167)</f>
        <v>0</v>
      </c>
      <c r="L178">
        <f ca="1">SUMIF(Top!$W$5:$W$168,$B178,Top!AG$5:AG$167)+SUMIF(Mid!$W$5:$W$168,$B178,Mid!AG$5:AG$167)</f>
        <v>0</v>
      </c>
      <c r="M178">
        <f ca="1">SUMIF(Top!$W$5:$W$168,$B178,Top!AH$5:AH$167)+SUMIF(Mid!$W$5:$W$168,$B178,Mid!AH$5:AH$167)</f>
        <v>0</v>
      </c>
      <c r="N178">
        <f ca="1">SUMIF(Top!$W$5:$W$168,$B178,Top!AI$5:AI$167)+SUMIF(Mid!$W$5:$W$168,$B178,Mid!AI$5:AI$167)</f>
        <v>0</v>
      </c>
      <c r="O178">
        <f ca="1">SUMIF(Top!$W$5:$W$168,$B178,Top!AJ$5:AJ$167)+SUMIF(Mid!$W$5:$W$168,$B178,Mid!AJ$5:AJ$167)</f>
        <v>0</v>
      </c>
      <c r="P178">
        <f ca="1">SUMIF(Top!$W$5:$W$168,$B178,Top!AK$5:AK$167)+SUMIF(Mid!$W$5:$W$168,$B178,Mid!AK$5:AK$167)</f>
        <v>0</v>
      </c>
      <c r="Q178">
        <f t="shared" ca="1" si="4"/>
        <v>0</v>
      </c>
      <c r="R178" s="17">
        <f t="shared" ca="1" si="5"/>
        <v>0</v>
      </c>
    </row>
    <row r="179" spans="2:18" x14ac:dyDescent="0.25">
      <c r="B179" t="s">
        <v>199</v>
      </c>
      <c r="C179">
        <f ca="1">SUMIF(Top!$W$5:$W$168,$B179,Top!X$5:X$167)+SUMIF(Mid!$W$5:$W$168,$B179,Mid!X$5:X$167)</f>
        <v>0</v>
      </c>
      <c r="D179">
        <f ca="1">SUMIF(Top!$W$5:$W$168,$B179,Top!Y$5:Y$167)+SUMIF(Mid!$W$5:$W$168,$B179,Mid!Y$5:Y$167)</f>
        <v>0</v>
      </c>
      <c r="E179">
        <f ca="1">SUMIF(Top!$W$5:$W$168,$B179,Top!Z$5:Z$167)+SUMIF(Mid!$W$5:$W$168,$B179,Mid!Z$5:Z$167)</f>
        <v>0</v>
      </c>
      <c r="F179">
        <f ca="1">SUMIF(Top!$W$5:$W$168,$B179,Top!AA$5:AA$167)+SUMIF(Mid!$W$5:$W$168,$B179,Mid!AA$5:AA$167)</f>
        <v>0</v>
      </c>
      <c r="G179">
        <f ca="1">SUMIF(Top!$W$5:$W$168,$B179,Top!AB$5:AB$167)+SUMIF(Mid!$W$5:$W$168,$B179,Mid!AB$5:AB$167)</f>
        <v>0</v>
      </c>
      <c r="H179">
        <f ca="1">SUMIF(Top!$W$5:$W$168,$B179,Top!AC$5:AC$167)+SUMIF(Mid!$W$5:$W$168,$B179,Mid!AC$5:AC$167)</f>
        <v>0</v>
      </c>
      <c r="I179">
        <f ca="1">SUMIF(Top!$W$5:$W$168,$B179,Top!AD$5:AD$167)+SUMIF(Mid!$W$5:$W$168,$B179,Mid!AD$5:AD$167)</f>
        <v>0</v>
      </c>
      <c r="J179">
        <f ca="1">SUMIF(Top!$W$5:$W$168,$B179,Top!AE$5:AE$167)+SUMIF(Mid!$W$5:$W$168,$B179,Mid!AE$5:AE$167)</f>
        <v>0</v>
      </c>
      <c r="K179">
        <f ca="1">SUMIF(Top!$W$5:$W$168,$B179,Top!AF$5:AF$167)+SUMIF(Mid!$W$5:$W$168,$B179,Mid!AF$5:AF$167)</f>
        <v>0</v>
      </c>
      <c r="L179">
        <f ca="1">SUMIF(Top!$W$5:$W$168,$B179,Top!AG$5:AG$167)+SUMIF(Mid!$W$5:$W$168,$B179,Mid!AG$5:AG$167)</f>
        <v>0</v>
      </c>
      <c r="M179">
        <f ca="1">SUMIF(Top!$W$5:$W$168,$B179,Top!AH$5:AH$167)+SUMIF(Mid!$W$5:$W$168,$B179,Mid!AH$5:AH$167)</f>
        <v>0</v>
      </c>
      <c r="N179">
        <f ca="1">SUMIF(Top!$W$5:$W$168,$B179,Top!AI$5:AI$167)+SUMIF(Mid!$W$5:$W$168,$B179,Mid!AI$5:AI$167)</f>
        <v>0</v>
      </c>
      <c r="O179">
        <f ca="1">SUMIF(Top!$W$5:$W$168,$B179,Top!AJ$5:AJ$167)+SUMIF(Mid!$W$5:$W$168,$B179,Mid!AJ$5:AJ$167)</f>
        <v>0</v>
      </c>
      <c r="P179">
        <f ca="1">SUMIF(Top!$W$5:$W$168,$B179,Top!AK$5:AK$167)+SUMIF(Mid!$W$5:$W$168,$B179,Mid!AK$5:AK$167)</f>
        <v>0</v>
      </c>
      <c r="Q179">
        <f t="shared" ca="1" si="4"/>
        <v>0</v>
      </c>
      <c r="R179" s="17">
        <f t="shared" ca="1" si="5"/>
        <v>0</v>
      </c>
    </row>
    <row r="180" spans="2:18" x14ac:dyDescent="0.25">
      <c r="B180" t="s">
        <v>201</v>
      </c>
      <c r="C180">
        <f ca="1">SUMIF(Top!$W$5:$W$168,$B180,Top!X$5:X$167)+SUMIF(Mid!$W$5:$W$168,$B180,Mid!X$5:X$167)</f>
        <v>0</v>
      </c>
      <c r="D180">
        <f ca="1">SUMIF(Top!$W$5:$W$168,$B180,Top!Y$5:Y$167)+SUMIF(Mid!$W$5:$W$168,$B180,Mid!Y$5:Y$167)</f>
        <v>0</v>
      </c>
      <c r="E180">
        <f ca="1">SUMIF(Top!$W$5:$W$168,$B180,Top!Z$5:Z$167)+SUMIF(Mid!$W$5:$W$168,$B180,Mid!Z$5:Z$167)</f>
        <v>0</v>
      </c>
      <c r="F180">
        <f ca="1">SUMIF(Top!$W$5:$W$168,$B180,Top!AA$5:AA$167)+SUMIF(Mid!$W$5:$W$168,$B180,Mid!AA$5:AA$167)</f>
        <v>0</v>
      </c>
      <c r="G180">
        <f ca="1">SUMIF(Top!$W$5:$W$168,$B180,Top!AB$5:AB$167)+SUMIF(Mid!$W$5:$W$168,$B180,Mid!AB$5:AB$167)</f>
        <v>0</v>
      </c>
      <c r="H180">
        <f ca="1">SUMIF(Top!$W$5:$W$168,$B180,Top!AC$5:AC$167)+SUMIF(Mid!$W$5:$W$168,$B180,Mid!AC$5:AC$167)</f>
        <v>0</v>
      </c>
      <c r="I180">
        <f ca="1">SUMIF(Top!$W$5:$W$168,$B180,Top!AD$5:AD$167)+SUMIF(Mid!$W$5:$W$168,$B180,Mid!AD$5:AD$167)</f>
        <v>0</v>
      </c>
      <c r="J180">
        <f ca="1">SUMIF(Top!$W$5:$W$168,$B180,Top!AE$5:AE$167)+SUMIF(Mid!$W$5:$W$168,$B180,Mid!AE$5:AE$167)</f>
        <v>0</v>
      </c>
      <c r="K180">
        <f ca="1">SUMIF(Top!$W$5:$W$168,$B180,Top!AF$5:AF$167)+SUMIF(Mid!$W$5:$W$168,$B180,Mid!AF$5:AF$167)</f>
        <v>0</v>
      </c>
      <c r="L180">
        <f ca="1">SUMIF(Top!$W$5:$W$168,$B180,Top!AG$5:AG$167)+SUMIF(Mid!$W$5:$W$168,$B180,Mid!AG$5:AG$167)</f>
        <v>0</v>
      </c>
      <c r="M180">
        <f ca="1">SUMIF(Top!$W$5:$W$168,$B180,Top!AH$5:AH$167)+SUMIF(Mid!$W$5:$W$168,$B180,Mid!AH$5:AH$167)</f>
        <v>0</v>
      </c>
      <c r="N180">
        <f ca="1">SUMIF(Top!$W$5:$W$168,$B180,Top!AI$5:AI$167)+SUMIF(Mid!$W$5:$W$168,$B180,Mid!AI$5:AI$167)</f>
        <v>0</v>
      </c>
      <c r="O180">
        <f ca="1">SUMIF(Top!$W$5:$W$168,$B180,Top!AJ$5:AJ$167)+SUMIF(Mid!$W$5:$W$168,$B180,Mid!AJ$5:AJ$167)</f>
        <v>0</v>
      </c>
      <c r="P180">
        <f ca="1">SUMIF(Top!$W$5:$W$168,$B180,Top!AK$5:AK$167)+SUMIF(Mid!$W$5:$W$168,$B180,Mid!AK$5:AK$167)</f>
        <v>0</v>
      </c>
      <c r="Q180">
        <f t="shared" ca="1" si="4"/>
        <v>0</v>
      </c>
      <c r="R180" s="17">
        <f t="shared" ca="1" si="5"/>
        <v>0</v>
      </c>
    </row>
    <row r="181" spans="2:18" x14ac:dyDescent="0.25">
      <c r="B181" t="s">
        <v>202</v>
      </c>
      <c r="C181">
        <f ca="1">SUMIF(Top!$W$5:$W$168,$B181,Top!X$5:X$167)+SUMIF(Mid!$W$5:$W$168,$B181,Mid!X$5:X$167)</f>
        <v>0</v>
      </c>
      <c r="D181">
        <f ca="1">SUMIF(Top!$W$5:$W$168,$B181,Top!Y$5:Y$167)+SUMIF(Mid!$W$5:$W$168,$B181,Mid!Y$5:Y$167)</f>
        <v>0</v>
      </c>
      <c r="E181">
        <f ca="1">SUMIF(Top!$W$5:$W$168,$B181,Top!Z$5:Z$167)+SUMIF(Mid!$W$5:$W$168,$B181,Mid!Z$5:Z$167)</f>
        <v>0</v>
      </c>
      <c r="F181">
        <f ca="1">SUMIF(Top!$W$5:$W$168,$B181,Top!AA$5:AA$167)+SUMIF(Mid!$W$5:$W$168,$B181,Mid!AA$5:AA$167)</f>
        <v>0</v>
      </c>
      <c r="G181">
        <f ca="1">SUMIF(Top!$W$5:$W$168,$B181,Top!AB$5:AB$167)+SUMIF(Mid!$W$5:$W$168,$B181,Mid!AB$5:AB$167)</f>
        <v>0</v>
      </c>
      <c r="H181">
        <f ca="1">SUMIF(Top!$W$5:$W$168,$B181,Top!AC$5:AC$167)+SUMIF(Mid!$W$5:$W$168,$B181,Mid!AC$5:AC$167)</f>
        <v>0</v>
      </c>
      <c r="I181">
        <f ca="1">SUMIF(Top!$W$5:$W$168,$B181,Top!AD$5:AD$167)+SUMIF(Mid!$W$5:$W$168,$B181,Mid!AD$5:AD$167)</f>
        <v>0</v>
      </c>
      <c r="J181">
        <f ca="1">SUMIF(Top!$W$5:$W$168,$B181,Top!AE$5:AE$167)+SUMIF(Mid!$W$5:$W$168,$B181,Mid!AE$5:AE$167)</f>
        <v>0</v>
      </c>
      <c r="K181">
        <f ca="1">SUMIF(Top!$W$5:$W$168,$B181,Top!AF$5:AF$167)+SUMIF(Mid!$W$5:$W$168,$B181,Mid!AF$5:AF$167)</f>
        <v>0</v>
      </c>
      <c r="L181">
        <f ca="1">SUMIF(Top!$W$5:$W$168,$B181,Top!AG$5:AG$167)+SUMIF(Mid!$W$5:$W$168,$B181,Mid!AG$5:AG$167)</f>
        <v>0</v>
      </c>
      <c r="M181">
        <f ca="1">SUMIF(Top!$W$5:$W$168,$B181,Top!AH$5:AH$167)+SUMIF(Mid!$W$5:$W$168,$B181,Mid!AH$5:AH$167)</f>
        <v>0</v>
      </c>
      <c r="N181">
        <f ca="1">SUMIF(Top!$W$5:$W$168,$B181,Top!AI$5:AI$167)+SUMIF(Mid!$W$5:$W$168,$B181,Mid!AI$5:AI$167)</f>
        <v>0</v>
      </c>
      <c r="O181">
        <f ca="1">SUMIF(Top!$W$5:$W$168,$B181,Top!AJ$5:AJ$167)+SUMIF(Mid!$W$5:$W$168,$B181,Mid!AJ$5:AJ$167)</f>
        <v>0</v>
      </c>
      <c r="P181">
        <f ca="1">SUMIF(Top!$W$5:$W$168,$B181,Top!AK$5:AK$167)+SUMIF(Mid!$W$5:$W$168,$B181,Mid!AK$5:AK$167)</f>
        <v>0</v>
      </c>
      <c r="Q181">
        <f t="shared" ca="1" si="4"/>
        <v>0</v>
      </c>
      <c r="R181" s="17">
        <f t="shared" ca="1" si="5"/>
        <v>0</v>
      </c>
    </row>
    <row r="182" spans="2:18" x14ac:dyDescent="0.25">
      <c r="B182" t="s">
        <v>203</v>
      </c>
      <c r="C182">
        <f ca="1">SUMIF(Top!$W$5:$W$168,$B182,Top!X$5:X$167)+SUMIF(Mid!$W$5:$W$168,$B182,Mid!X$5:X$167)</f>
        <v>0</v>
      </c>
      <c r="D182">
        <f ca="1">SUMIF(Top!$W$5:$W$168,$B182,Top!Y$5:Y$167)+SUMIF(Mid!$W$5:$W$168,$B182,Mid!Y$5:Y$167)</f>
        <v>0</v>
      </c>
      <c r="E182">
        <f ca="1">SUMIF(Top!$W$5:$W$168,$B182,Top!Z$5:Z$167)+SUMIF(Mid!$W$5:$W$168,$B182,Mid!Z$5:Z$167)</f>
        <v>0</v>
      </c>
      <c r="F182">
        <f ca="1">SUMIF(Top!$W$5:$W$168,$B182,Top!AA$5:AA$167)+SUMIF(Mid!$W$5:$W$168,$B182,Mid!AA$5:AA$167)</f>
        <v>0</v>
      </c>
      <c r="G182">
        <f ca="1">SUMIF(Top!$W$5:$W$168,$B182,Top!AB$5:AB$167)+SUMIF(Mid!$W$5:$W$168,$B182,Mid!AB$5:AB$167)</f>
        <v>0</v>
      </c>
      <c r="H182">
        <f ca="1">SUMIF(Top!$W$5:$W$168,$B182,Top!AC$5:AC$167)+SUMIF(Mid!$W$5:$W$168,$B182,Mid!AC$5:AC$167)</f>
        <v>0</v>
      </c>
      <c r="I182">
        <f ca="1">SUMIF(Top!$W$5:$W$168,$B182,Top!AD$5:AD$167)+SUMIF(Mid!$W$5:$W$168,$B182,Mid!AD$5:AD$167)</f>
        <v>0</v>
      </c>
      <c r="J182">
        <f ca="1">SUMIF(Top!$W$5:$W$168,$B182,Top!AE$5:AE$167)+SUMIF(Mid!$W$5:$W$168,$B182,Mid!AE$5:AE$167)</f>
        <v>0</v>
      </c>
      <c r="K182">
        <f ca="1">SUMIF(Top!$W$5:$W$168,$B182,Top!AF$5:AF$167)+SUMIF(Mid!$W$5:$W$168,$B182,Mid!AF$5:AF$167)</f>
        <v>0</v>
      </c>
      <c r="L182">
        <f ca="1">SUMIF(Top!$W$5:$W$168,$B182,Top!AG$5:AG$167)+SUMIF(Mid!$W$5:$W$168,$B182,Mid!AG$5:AG$167)</f>
        <v>0</v>
      </c>
      <c r="M182">
        <f ca="1">SUMIF(Top!$W$5:$W$168,$B182,Top!AH$5:AH$167)+SUMIF(Mid!$W$5:$W$168,$B182,Mid!AH$5:AH$167)</f>
        <v>0</v>
      </c>
      <c r="N182">
        <f ca="1">SUMIF(Top!$W$5:$W$168,$B182,Top!AI$5:AI$167)+SUMIF(Mid!$W$5:$W$168,$B182,Mid!AI$5:AI$167)</f>
        <v>0</v>
      </c>
      <c r="O182">
        <f ca="1">SUMIF(Top!$W$5:$W$168,$B182,Top!AJ$5:AJ$167)+SUMIF(Mid!$W$5:$W$168,$B182,Mid!AJ$5:AJ$167)</f>
        <v>0</v>
      </c>
      <c r="P182">
        <f ca="1">SUMIF(Top!$W$5:$W$168,$B182,Top!AK$5:AK$167)+SUMIF(Mid!$W$5:$W$168,$B182,Mid!AK$5:AK$167)</f>
        <v>0</v>
      </c>
      <c r="Q182">
        <f t="shared" ca="1" si="4"/>
        <v>0</v>
      </c>
      <c r="R182" s="17">
        <f t="shared" ca="1" si="5"/>
        <v>0</v>
      </c>
    </row>
    <row r="183" spans="2:18" x14ac:dyDescent="0.25">
      <c r="B183" t="s">
        <v>205</v>
      </c>
      <c r="C183">
        <f ca="1">SUMIF(Top!$W$5:$W$168,$B183,Top!X$5:X$167)+SUMIF(Mid!$W$5:$W$168,$B183,Mid!X$5:X$167)</f>
        <v>0</v>
      </c>
      <c r="D183">
        <f ca="1">SUMIF(Top!$W$5:$W$168,$B183,Top!Y$5:Y$167)+SUMIF(Mid!$W$5:$W$168,$B183,Mid!Y$5:Y$167)</f>
        <v>0</v>
      </c>
      <c r="E183">
        <f ca="1">SUMIF(Top!$W$5:$W$168,$B183,Top!Z$5:Z$167)+SUMIF(Mid!$W$5:$W$168,$B183,Mid!Z$5:Z$167)</f>
        <v>0</v>
      </c>
      <c r="F183">
        <f ca="1">SUMIF(Top!$W$5:$W$168,$B183,Top!AA$5:AA$167)+SUMIF(Mid!$W$5:$W$168,$B183,Mid!AA$5:AA$167)</f>
        <v>0</v>
      </c>
      <c r="G183">
        <f ca="1">SUMIF(Top!$W$5:$W$168,$B183,Top!AB$5:AB$167)+SUMIF(Mid!$W$5:$W$168,$B183,Mid!AB$5:AB$167)</f>
        <v>0</v>
      </c>
      <c r="H183">
        <f ca="1">SUMIF(Top!$W$5:$W$168,$B183,Top!AC$5:AC$167)+SUMIF(Mid!$W$5:$W$168,$B183,Mid!AC$5:AC$167)</f>
        <v>0</v>
      </c>
      <c r="I183">
        <f ca="1">SUMIF(Top!$W$5:$W$168,$B183,Top!AD$5:AD$167)+SUMIF(Mid!$W$5:$W$168,$B183,Mid!AD$5:AD$167)</f>
        <v>0</v>
      </c>
      <c r="J183">
        <f ca="1">SUMIF(Top!$W$5:$W$168,$B183,Top!AE$5:AE$167)+SUMIF(Mid!$W$5:$W$168,$B183,Mid!AE$5:AE$167)</f>
        <v>0</v>
      </c>
      <c r="K183">
        <f ca="1">SUMIF(Top!$W$5:$W$168,$B183,Top!AF$5:AF$167)+SUMIF(Mid!$W$5:$W$168,$B183,Mid!AF$5:AF$167)</f>
        <v>0</v>
      </c>
      <c r="L183">
        <f ca="1">SUMIF(Top!$W$5:$W$168,$B183,Top!AG$5:AG$167)+SUMIF(Mid!$W$5:$W$168,$B183,Mid!AG$5:AG$167)</f>
        <v>0</v>
      </c>
      <c r="M183">
        <f ca="1">SUMIF(Top!$W$5:$W$168,$B183,Top!AH$5:AH$167)+SUMIF(Mid!$W$5:$W$168,$B183,Mid!AH$5:AH$167)</f>
        <v>0</v>
      </c>
      <c r="N183">
        <f ca="1">SUMIF(Top!$W$5:$W$168,$B183,Top!AI$5:AI$167)+SUMIF(Mid!$W$5:$W$168,$B183,Mid!AI$5:AI$167)</f>
        <v>0</v>
      </c>
      <c r="O183">
        <f ca="1">SUMIF(Top!$W$5:$W$168,$B183,Top!AJ$5:AJ$167)+SUMIF(Mid!$W$5:$W$168,$B183,Mid!AJ$5:AJ$167)</f>
        <v>0</v>
      </c>
      <c r="P183">
        <f ca="1">SUMIF(Top!$W$5:$W$168,$B183,Top!AK$5:AK$167)+SUMIF(Mid!$W$5:$W$168,$B183,Mid!AK$5:AK$167)</f>
        <v>0</v>
      </c>
      <c r="Q183">
        <f t="shared" ca="1" si="4"/>
        <v>0</v>
      </c>
      <c r="R183" s="17">
        <f t="shared" ca="1" si="5"/>
        <v>0</v>
      </c>
    </row>
    <row r="184" spans="2:18" x14ac:dyDescent="0.25">
      <c r="B184" t="s">
        <v>206</v>
      </c>
      <c r="C184">
        <f ca="1">SUMIF(Top!$W$5:$W$168,$B184,Top!X$5:X$167)+SUMIF(Mid!$W$5:$W$168,$B184,Mid!X$5:X$167)</f>
        <v>0</v>
      </c>
      <c r="D184">
        <f ca="1">SUMIF(Top!$W$5:$W$168,$B184,Top!Y$5:Y$167)+SUMIF(Mid!$W$5:$W$168,$B184,Mid!Y$5:Y$167)</f>
        <v>3</v>
      </c>
      <c r="E184">
        <f ca="1">SUMIF(Top!$W$5:$W$168,$B184,Top!Z$5:Z$167)+SUMIF(Mid!$W$5:$W$168,$B184,Mid!Z$5:Z$167)</f>
        <v>0</v>
      </c>
      <c r="F184">
        <f ca="1">SUMIF(Top!$W$5:$W$168,$B184,Top!AA$5:AA$167)+SUMIF(Mid!$W$5:$W$168,$B184,Mid!AA$5:AA$167)</f>
        <v>10</v>
      </c>
      <c r="G184">
        <f ca="1">SUMIF(Top!$W$5:$W$168,$B184,Top!AB$5:AB$167)+SUMIF(Mid!$W$5:$W$168,$B184,Mid!AB$5:AB$167)</f>
        <v>0</v>
      </c>
      <c r="H184">
        <f ca="1">SUMIF(Top!$W$5:$W$168,$B184,Top!AC$5:AC$167)+SUMIF(Mid!$W$5:$W$168,$B184,Mid!AC$5:AC$167)</f>
        <v>0</v>
      </c>
      <c r="I184">
        <f ca="1">SUMIF(Top!$W$5:$W$168,$B184,Top!AD$5:AD$167)+SUMIF(Mid!$W$5:$W$168,$B184,Mid!AD$5:AD$167)</f>
        <v>0</v>
      </c>
      <c r="J184">
        <f ca="1">SUMIF(Top!$W$5:$W$168,$B184,Top!AE$5:AE$167)+SUMIF(Mid!$W$5:$W$168,$B184,Mid!AE$5:AE$167)</f>
        <v>0</v>
      </c>
      <c r="K184">
        <f ca="1">SUMIF(Top!$W$5:$W$168,$B184,Top!AF$5:AF$167)+SUMIF(Mid!$W$5:$W$168,$B184,Mid!AF$5:AF$167)</f>
        <v>0</v>
      </c>
      <c r="L184">
        <f ca="1">SUMIF(Top!$W$5:$W$168,$B184,Top!AG$5:AG$167)+SUMIF(Mid!$W$5:$W$168,$B184,Mid!AG$5:AG$167)</f>
        <v>0</v>
      </c>
      <c r="M184">
        <f ca="1">SUMIF(Top!$W$5:$W$168,$B184,Top!AH$5:AH$167)+SUMIF(Mid!$W$5:$W$168,$B184,Mid!AH$5:AH$167)</f>
        <v>0</v>
      </c>
      <c r="N184">
        <f ca="1">SUMIF(Top!$W$5:$W$168,$B184,Top!AI$5:AI$167)+SUMIF(Mid!$W$5:$W$168,$B184,Mid!AI$5:AI$167)</f>
        <v>0</v>
      </c>
      <c r="O184">
        <f ca="1">SUMIF(Top!$W$5:$W$168,$B184,Top!AJ$5:AJ$167)+SUMIF(Mid!$W$5:$W$168,$B184,Mid!AJ$5:AJ$167)</f>
        <v>0</v>
      </c>
      <c r="P184">
        <f ca="1">SUMIF(Top!$W$5:$W$168,$B184,Top!AK$5:AK$167)+SUMIF(Mid!$W$5:$W$168,$B184,Mid!AK$5:AK$167)</f>
        <v>0</v>
      </c>
      <c r="Q184">
        <f t="shared" ca="1" si="4"/>
        <v>13</v>
      </c>
      <c r="R184" s="17">
        <f t="shared" ca="1" si="5"/>
        <v>6.5</v>
      </c>
    </row>
    <row r="185" spans="2:18" x14ac:dyDescent="0.25">
      <c r="B185" t="s">
        <v>207</v>
      </c>
      <c r="C185">
        <f ca="1">SUMIF(Top!$W$5:$W$168,$B185,Top!X$5:X$167)+SUMIF(Mid!$W$5:$W$168,$B185,Mid!X$5:X$167)</f>
        <v>0</v>
      </c>
      <c r="D185">
        <f ca="1">SUMIF(Top!$W$5:$W$168,$B185,Top!Y$5:Y$167)+SUMIF(Mid!$W$5:$W$168,$B185,Mid!Y$5:Y$167)</f>
        <v>0</v>
      </c>
      <c r="E185">
        <f ca="1">SUMIF(Top!$W$5:$W$168,$B185,Top!Z$5:Z$167)+SUMIF(Mid!$W$5:$W$168,$B185,Mid!Z$5:Z$167)</f>
        <v>0</v>
      </c>
      <c r="F185">
        <f ca="1">SUMIF(Top!$W$5:$W$168,$B185,Top!AA$5:AA$167)+SUMIF(Mid!$W$5:$W$168,$B185,Mid!AA$5:AA$167)</f>
        <v>0</v>
      </c>
      <c r="G185">
        <f ca="1">SUMIF(Top!$W$5:$W$168,$B185,Top!AB$5:AB$167)+SUMIF(Mid!$W$5:$W$168,$B185,Mid!AB$5:AB$167)</f>
        <v>0</v>
      </c>
      <c r="H185">
        <f ca="1">SUMIF(Top!$W$5:$W$168,$B185,Top!AC$5:AC$167)+SUMIF(Mid!$W$5:$W$168,$B185,Mid!AC$5:AC$167)</f>
        <v>0</v>
      </c>
      <c r="I185">
        <f ca="1">SUMIF(Top!$W$5:$W$168,$B185,Top!AD$5:AD$167)+SUMIF(Mid!$W$5:$W$168,$B185,Mid!AD$5:AD$167)</f>
        <v>0</v>
      </c>
      <c r="J185">
        <f ca="1">SUMIF(Top!$W$5:$W$168,$B185,Top!AE$5:AE$167)+SUMIF(Mid!$W$5:$W$168,$B185,Mid!AE$5:AE$167)</f>
        <v>0</v>
      </c>
      <c r="K185">
        <f ca="1">SUMIF(Top!$W$5:$W$168,$B185,Top!AF$5:AF$167)+SUMIF(Mid!$W$5:$W$168,$B185,Mid!AF$5:AF$167)</f>
        <v>0</v>
      </c>
      <c r="L185">
        <f ca="1">SUMIF(Top!$W$5:$W$168,$B185,Top!AG$5:AG$167)+SUMIF(Mid!$W$5:$W$168,$B185,Mid!AG$5:AG$167)</f>
        <v>0</v>
      </c>
      <c r="M185">
        <f ca="1">SUMIF(Top!$W$5:$W$168,$B185,Top!AH$5:AH$167)+SUMIF(Mid!$W$5:$W$168,$B185,Mid!AH$5:AH$167)</f>
        <v>0</v>
      </c>
      <c r="N185">
        <f ca="1">SUMIF(Top!$W$5:$W$168,$B185,Top!AI$5:AI$167)+SUMIF(Mid!$W$5:$W$168,$B185,Mid!AI$5:AI$167)</f>
        <v>0</v>
      </c>
      <c r="O185">
        <f ca="1">SUMIF(Top!$W$5:$W$168,$B185,Top!AJ$5:AJ$167)+SUMIF(Mid!$W$5:$W$168,$B185,Mid!AJ$5:AJ$167)</f>
        <v>0</v>
      </c>
      <c r="P185">
        <f ca="1">SUMIF(Top!$W$5:$W$168,$B185,Top!AK$5:AK$167)+SUMIF(Mid!$W$5:$W$168,$B185,Mid!AK$5:AK$167)</f>
        <v>0</v>
      </c>
      <c r="Q185">
        <f t="shared" ca="1" si="4"/>
        <v>0</v>
      </c>
      <c r="R185" s="17">
        <f t="shared" ca="1" si="5"/>
        <v>0</v>
      </c>
    </row>
    <row r="186" spans="2:18" x14ac:dyDescent="0.25">
      <c r="B186" t="s">
        <v>209</v>
      </c>
      <c r="C186">
        <f ca="1">SUMIF(Top!$W$5:$W$168,$B186,Top!X$5:X$167)+SUMIF(Mid!$W$5:$W$168,$B186,Mid!X$5:X$167)</f>
        <v>0</v>
      </c>
      <c r="D186">
        <f ca="1">SUMIF(Top!$W$5:$W$168,$B186,Top!Y$5:Y$167)+SUMIF(Mid!$W$5:$W$168,$B186,Mid!Y$5:Y$167)</f>
        <v>0</v>
      </c>
      <c r="E186">
        <f ca="1">SUMIF(Top!$W$5:$W$168,$B186,Top!Z$5:Z$167)+SUMIF(Mid!$W$5:$W$168,$B186,Mid!Z$5:Z$167)</f>
        <v>0</v>
      </c>
      <c r="F186">
        <f ca="1">SUMIF(Top!$W$5:$W$168,$B186,Top!AA$5:AA$167)+SUMIF(Mid!$W$5:$W$168,$B186,Mid!AA$5:AA$167)</f>
        <v>0</v>
      </c>
      <c r="G186">
        <f ca="1">SUMIF(Top!$W$5:$W$168,$B186,Top!AB$5:AB$167)+SUMIF(Mid!$W$5:$W$168,$B186,Mid!AB$5:AB$167)</f>
        <v>0</v>
      </c>
      <c r="H186">
        <f ca="1">SUMIF(Top!$W$5:$W$168,$B186,Top!AC$5:AC$167)+SUMIF(Mid!$W$5:$W$168,$B186,Mid!AC$5:AC$167)</f>
        <v>0</v>
      </c>
      <c r="I186">
        <f ca="1">SUMIF(Top!$W$5:$W$168,$B186,Top!AD$5:AD$167)+SUMIF(Mid!$W$5:$W$168,$B186,Mid!AD$5:AD$167)</f>
        <v>0</v>
      </c>
      <c r="J186">
        <f ca="1">SUMIF(Top!$W$5:$W$168,$B186,Top!AE$5:AE$167)+SUMIF(Mid!$W$5:$W$168,$B186,Mid!AE$5:AE$167)</f>
        <v>0</v>
      </c>
      <c r="K186">
        <f ca="1">SUMIF(Top!$W$5:$W$168,$B186,Top!AF$5:AF$167)+SUMIF(Mid!$W$5:$W$168,$B186,Mid!AF$5:AF$167)</f>
        <v>0</v>
      </c>
      <c r="L186">
        <f ca="1">SUMIF(Top!$W$5:$W$168,$B186,Top!AG$5:AG$167)+SUMIF(Mid!$W$5:$W$168,$B186,Mid!AG$5:AG$167)</f>
        <v>0</v>
      </c>
      <c r="M186">
        <f ca="1">SUMIF(Top!$W$5:$W$168,$B186,Top!AH$5:AH$167)+SUMIF(Mid!$W$5:$W$168,$B186,Mid!AH$5:AH$167)</f>
        <v>0</v>
      </c>
      <c r="N186">
        <f ca="1">SUMIF(Top!$W$5:$W$168,$B186,Top!AI$5:AI$167)+SUMIF(Mid!$W$5:$W$168,$B186,Mid!AI$5:AI$167)</f>
        <v>0</v>
      </c>
      <c r="O186">
        <f ca="1">SUMIF(Top!$W$5:$W$168,$B186,Top!AJ$5:AJ$167)+SUMIF(Mid!$W$5:$W$168,$B186,Mid!AJ$5:AJ$167)</f>
        <v>0</v>
      </c>
      <c r="P186">
        <f ca="1">SUMIF(Top!$W$5:$W$168,$B186,Top!AK$5:AK$167)+SUMIF(Mid!$W$5:$W$168,$B186,Mid!AK$5:AK$167)</f>
        <v>0</v>
      </c>
      <c r="Q186">
        <f t="shared" ca="1" si="4"/>
        <v>0</v>
      </c>
      <c r="R186" s="17">
        <f t="shared" ca="1" si="5"/>
        <v>0</v>
      </c>
    </row>
    <row r="187" spans="2:18" x14ac:dyDescent="0.25">
      <c r="B187" t="s">
        <v>210</v>
      </c>
      <c r="C187">
        <f ca="1">SUMIF(Top!$W$5:$W$168,$B187,Top!X$5:X$167)+SUMIF(Mid!$W$5:$W$168,$B187,Mid!X$5:X$167)</f>
        <v>0</v>
      </c>
      <c r="D187">
        <f ca="1">SUMIF(Top!$W$5:$W$168,$B187,Top!Y$5:Y$167)+SUMIF(Mid!$W$5:$W$168,$B187,Mid!Y$5:Y$167)</f>
        <v>0</v>
      </c>
      <c r="E187">
        <f ca="1">SUMIF(Top!$W$5:$W$168,$B187,Top!Z$5:Z$167)+SUMIF(Mid!$W$5:$W$168,$B187,Mid!Z$5:Z$167)</f>
        <v>5</v>
      </c>
      <c r="F187">
        <f ca="1">SUMIF(Top!$W$5:$W$168,$B187,Top!AA$5:AA$167)+SUMIF(Mid!$W$5:$W$168,$B187,Mid!AA$5:AA$167)</f>
        <v>8</v>
      </c>
      <c r="G187">
        <f ca="1">SUMIF(Top!$W$5:$W$168,$B187,Top!AB$5:AB$167)+SUMIF(Mid!$W$5:$W$168,$B187,Mid!AB$5:AB$167)</f>
        <v>0</v>
      </c>
      <c r="H187">
        <f ca="1">SUMIF(Top!$W$5:$W$168,$B187,Top!AC$5:AC$167)+SUMIF(Mid!$W$5:$W$168,$B187,Mid!AC$5:AC$167)</f>
        <v>0</v>
      </c>
      <c r="I187">
        <f ca="1">SUMIF(Top!$W$5:$W$168,$B187,Top!AD$5:AD$167)+SUMIF(Mid!$W$5:$W$168,$B187,Mid!AD$5:AD$167)</f>
        <v>0</v>
      </c>
      <c r="J187">
        <f ca="1">SUMIF(Top!$W$5:$W$168,$B187,Top!AE$5:AE$167)+SUMIF(Mid!$W$5:$W$168,$B187,Mid!AE$5:AE$167)</f>
        <v>0</v>
      </c>
      <c r="K187">
        <f ca="1">SUMIF(Top!$W$5:$W$168,$B187,Top!AF$5:AF$167)+SUMIF(Mid!$W$5:$W$168,$B187,Mid!AF$5:AF$167)</f>
        <v>0</v>
      </c>
      <c r="L187">
        <f ca="1">SUMIF(Top!$W$5:$W$168,$B187,Top!AG$5:AG$167)+SUMIF(Mid!$W$5:$W$168,$B187,Mid!AG$5:AG$167)</f>
        <v>0</v>
      </c>
      <c r="M187">
        <f ca="1">SUMIF(Top!$W$5:$W$168,$B187,Top!AH$5:AH$167)+SUMIF(Mid!$W$5:$W$168,$B187,Mid!AH$5:AH$167)</f>
        <v>0</v>
      </c>
      <c r="N187">
        <f ca="1">SUMIF(Top!$W$5:$W$168,$B187,Top!AI$5:AI$167)+SUMIF(Mid!$W$5:$W$168,$B187,Mid!AI$5:AI$167)</f>
        <v>0</v>
      </c>
      <c r="O187">
        <f ca="1">SUMIF(Top!$W$5:$W$168,$B187,Top!AJ$5:AJ$167)+SUMIF(Mid!$W$5:$W$168,$B187,Mid!AJ$5:AJ$167)</f>
        <v>0</v>
      </c>
      <c r="P187">
        <f ca="1">SUMIF(Top!$W$5:$W$168,$B187,Top!AK$5:AK$167)+SUMIF(Mid!$W$5:$W$168,$B187,Mid!AK$5:AK$167)</f>
        <v>0</v>
      </c>
      <c r="Q187">
        <f t="shared" ca="1" si="4"/>
        <v>13</v>
      </c>
      <c r="R187" s="17">
        <f t="shared" ca="1" si="5"/>
        <v>6.5</v>
      </c>
    </row>
    <row r="188" spans="2:18" x14ac:dyDescent="0.25">
      <c r="B188" t="s">
        <v>211</v>
      </c>
      <c r="C188">
        <f ca="1">SUMIF(Top!$W$5:$W$168,$B188,Top!X$5:X$167)+SUMIF(Mid!$W$5:$W$168,$B188,Mid!X$5:X$167)</f>
        <v>0</v>
      </c>
      <c r="D188">
        <f ca="1">SUMIF(Top!$W$5:$W$168,$B188,Top!Y$5:Y$167)+SUMIF(Mid!$W$5:$W$168,$B188,Mid!Y$5:Y$167)</f>
        <v>0</v>
      </c>
      <c r="E188">
        <f ca="1">SUMIF(Top!$W$5:$W$168,$B188,Top!Z$5:Z$167)+SUMIF(Mid!$W$5:$W$168,$B188,Mid!Z$5:Z$167)</f>
        <v>0</v>
      </c>
      <c r="F188">
        <f ca="1">SUMIF(Top!$W$5:$W$168,$B188,Top!AA$5:AA$167)+SUMIF(Mid!$W$5:$W$168,$B188,Mid!AA$5:AA$167)</f>
        <v>0</v>
      </c>
      <c r="G188">
        <f ca="1">SUMIF(Top!$W$5:$W$168,$B188,Top!AB$5:AB$167)+SUMIF(Mid!$W$5:$W$168,$B188,Mid!AB$5:AB$167)</f>
        <v>0</v>
      </c>
      <c r="H188">
        <f ca="1">SUMIF(Top!$W$5:$W$168,$B188,Top!AC$5:AC$167)+SUMIF(Mid!$W$5:$W$168,$B188,Mid!AC$5:AC$167)</f>
        <v>0</v>
      </c>
      <c r="I188">
        <f ca="1">SUMIF(Top!$W$5:$W$168,$B188,Top!AD$5:AD$167)+SUMIF(Mid!$W$5:$W$168,$B188,Mid!AD$5:AD$167)</f>
        <v>0</v>
      </c>
      <c r="J188">
        <f ca="1">SUMIF(Top!$W$5:$W$168,$B188,Top!AE$5:AE$167)+SUMIF(Mid!$W$5:$W$168,$B188,Mid!AE$5:AE$167)</f>
        <v>0</v>
      </c>
      <c r="K188">
        <f ca="1">SUMIF(Top!$W$5:$W$168,$B188,Top!AF$5:AF$167)+SUMIF(Mid!$W$5:$W$168,$B188,Mid!AF$5:AF$167)</f>
        <v>0</v>
      </c>
      <c r="L188">
        <f ca="1">SUMIF(Top!$W$5:$W$168,$B188,Top!AG$5:AG$167)+SUMIF(Mid!$W$5:$W$168,$B188,Mid!AG$5:AG$167)</f>
        <v>0</v>
      </c>
      <c r="M188">
        <f ca="1">SUMIF(Top!$W$5:$W$168,$B188,Top!AH$5:AH$167)+SUMIF(Mid!$W$5:$W$168,$B188,Mid!AH$5:AH$167)</f>
        <v>0</v>
      </c>
      <c r="N188">
        <f ca="1">SUMIF(Top!$W$5:$W$168,$B188,Top!AI$5:AI$167)+SUMIF(Mid!$W$5:$W$168,$B188,Mid!AI$5:AI$167)</f>
        <v>0</v>
      </c>
      <c r="O188">
        <f ca="1">SUMIF(Top!$W$5:$W$168,$B188,Top!AJ$5:AJ$167)+SUMIF(Mid!$W$5:$W$168,$B188,Mid!AJ$5:AJ$167)</f>
        <v>0</v>
      </c>
      <c r="P188">
        <f ca="1">SUMIF(Top!$W$5:$W$168,$B188,Top!AK$5:AK$167)+SUMIF(Mid!$W$5:$W$168,$B188,Mid!AK$5:AK$167)</f>
        <v>0</v>
      </c>
      <c r="Q188">
        <f t="shared" ca="1" si="4"/>
        <v>0</v>
      </c>
      <c r="R188" s="17">
        <f t="shared" ca="1" si="5"/>
        <v>0</v>
      </c>
    </row>
    <row r="189" spans="2:18" x14ac:dyDescent="0.25">
      <c r="B189" t="s">
        <v>213</v>
      </c>
      <c r="C189">
        <f ca="1">SUMIF(Top!$W$5:$W$168,$B189,Top!X$5:X$167)+SUMIF(Mid!$W$5:$W$168,$B189,Mid!X$5:X$167)</f>
        <v>0</v>
      </c>
      <c r="D189">
        <f ca="1">SUMIF(Top!$W$5:$W$168,$B189,Top!Y$5:Y$167)+SUMIF(Mid!$W$5:$W$168,$B189,Mid!Y$5:Y$167)</f>
        <v>0</v>
      </c>
      <c r="E189">
        <f ca="1">SUMIF(Top!$W$5:$W$168,$B189,Top!Z$5:Z$167)+SUMIF(Mid!$W$5:$W$168,$B189,Mid!Z$5:Z$167)</f>
        <v>0</v>
      </c>
      <c r="F189">
        <f ca="1">SUMIF(Top!$W$5:$W$168,$B189,Top!AA$5:AA$167)+SUMIF(Mid!$W$5:$W$168,$B189,Mid!AA$5:AA$167)</f>
        <v>0</v>
      </c>
      <c r="G189">
        <f ca="1">SUMIF(Top!$W$5:$W$168,$B189,Top!AB$5:AB$167)+SUMIF(Mid!$W$5:$W$168,$B189,Mid!AB$5:AB$167)</f>
        <v>0</v>
      </c>
      <c r="H189">
        <f ca="1">SUMIF(Top!$W$5:$W$168,$B189,Top!AC$5:AC$167)+SUMIF(Mid!$W$5:$W$168,$B189,Mid!AC$5:AC$167)</f>
        <v>0</v>
      </c>
      <c r="I189">
        <f ca="1">SUMIF(Top!$W$5:$W$168,$B189,Top!AD$5:AD$167)+SUMIF(Mid!$W$5:$W$168,$B189,Mid!AD$5:AD$167)</f>
        <v>0</v>
      </c>
      <c r="J189">
        <f ca="1">SUMIF(Top!$W$5:$W$168,$B189,Top!AE$5:AE$167)+SUMIF(Mid!$W$5:$W$168,$B189,Mid!AE$5:AE$167)</f>
        <v>0</v>
      </c>
      <c r="K189">
        <f ca="1">SUMIF(Top!$W$5:$W$168,$B189,Top!AF$5:AF$167)+SUMIF(Mid!$W$5:$W$168,$B189,Mid!AF$5:AF$167)</f>
        <v>0</v>
      </c>
      <c r="L189">
        <f ca="1">SUMIF(Top!$W$5:$W$168,$B189,Top!AG$5:AG$167)+SUMIF(Mid!$W$5:$W$168,$B189,Mid!AG$5:AG$167)</f>
        <v>0</v>
      </c>
      <c r="M189">
        <f ca="1">SUMIF(Top!$W$5:$W$168,$B189,Top!AH$5:AH$167)+SUMIF(Mid!$W$5:$W$168,$B189,Mid!AH$5:AH$167)</f>
        <v>0</v>
      </c>
      <c r="N189">
        <f ca="1">SUMIF(Top!$W$5:$W$168,$B189,Top!AI$5:AI$167)+SUMIF(Mid!$W$5:$W$168,$B189,Mid!AI$5:AI$167)</f>
        <v>0</v>
      </c>
      <c r="O189">
        <f ca="1">SUMIF(Top!$W$5:$W$168,$B189,Top!AJ$5:AJ$167)+SUMIF(Mid!$W$5:$W$168,$B189,Mid!AJ$5:AJ$167)</f>
        <v>0</v>
      </c>
      <c r="P189">
        <f ca="1">SUMIF(Top!$W$5:$W$168,$B189,Top!AK$5:AK$167)+SUMIF(Mid!$W$5:$W$168,$B189,Mid!AK$5:AK$167)</f>
        <v>0</v>
      </c>
      <c r="Q189">
        <f t="shared" ca="1" si="4"/>
        <v>0</v>
      </c>
      <c r="R189" s="17">
        <f t="shared" ca="1" si="5"/>
        <v>0</v>
      </c>
    </row>
    <row r="190" spans="2:18" x14ac:dyDescent="0.25">
      <c r="B190" t="s">
        <v>214</v>
      </c>
      <c r="C190">
        <f ca="1">SUMIF(Top!$W$5:$W$168,$B190,Top!X$5:X$167)+SUMIF(Mid!$W$5:$W$168,$B190,Mid!X$5:X$167)</f>
        <v>0</v>
      </c>
      <c r="D190">
        <f ca="1">SUMIF(Top!$W$5:$W$168,$B190,Top!Y$5:Y$167)+SUMIF(Mid!$W$5:$W$168,$B190,Mid!Y$5:Y$167)</f>
        <v>0</v>
      </c>
      <c r="E190">
        <f ca="1">SUMIF(Top!$W$5:$W$168,$B190,Top!Z$5:Z$167)+SUMIF(Mid!$W$5:$W$168,$B190,Mid!Z$5:Z$167)</f>
        <v>0</v>
      </c>
      <c r="F190">
        <f ca="1">SUMIF(Top!$W$5:$W$168,$B190,Top!AA$5:AA$167)+SUMIF(Mid!$W$5:$W$168,$B190,Mid!AA$5:AA$167)</f>
        <v>0</v>
      </c>
      <c r="G190">
        <f ca="1">SUMIF(Top!$W$5:$W$168,$B190,Top!AB$5:AB$167)+SUMIF(Mid!$W$5:$W$168,$B190,Mid!AB$5:AB$167)</f>
        <v>0</v>
      </c>
      <c r="H190">
        <f ca="1">SUMIF(Top!$W$5:$W$168,$B190,Top!AC$5:AC$167)+SUMIF(Mid!$W$5:$W$168,$B190,Mid!AC$5:AC$167)</f>
        <v>0</v>
      </c>
      <c r="I190">
        <f ca="1">SUMIF(Top!$W$5:$W$168,$B190,Top!AD$5:AD$167)+SUMIF(Mid!$W$5:$W$168,$B190,Mid!AD$5:AD$167)</f>
        <v>0</v>
      </c>
      <c r="J190">
        <f ca="1">SUMIF(Top!$W$5:$W$168,$B190,Top!AE$5:AE$167)+SUMIF(Mid!$W$5:$W$168,$B190,Mid!AE$5:AE$167)</f>
        <v>0</v>
      </c>
      <c r="K190">
        <f ca="1">SUMIF(Top!$W$5:$W$168,$B190,Top!AF$5:AF$167)+SUMIF(Mid!$W$5:$W$168,$B190,Mid!AF$5:AF$167)</f>
        <v>0</v>
      </c>
      <c r="L190">
        <f ca="1">SUMIF(Top!$W$5:$W$168,$B190,Top!AG$5:AG$167)+SUMIF(Mid!$W$5:$W$168,$B190,Mid!AG$5:AG$167)</f>
        <v>0</v>
      </c>
      <c r="M190">
        <f ca="1">SUMIF(Top!$W$5:$W$168,$B190,Top!AH$5:AH$167)+SUMIF(Mid!$W$5:$W$168,$B190,Mid!AH$5:AH$167)</f>
        <v>0</v>
      </c>
      <c r="N190">
        <f ca="1">SUMIF(Top!$W$5:$W$168,$B190,Top!AI$5:AI$167)+SUMIF(Mid!$W$5:$W$168,$B190,Mid!AI$5:AI$167)</f>
        <v>0</v>
      </c>
      <c r="O190">
        <f ca="1">SUMIF(Top!$W$5:$W$168,$B190,Top!AJ$5:AJ$167)+SUMIF(Mid!$W$5:$W$168,$B190,Mid!AJ$5:AJ$167)</f>
        <v>0</v>
      </c>
      <c r="P190">
        <f ca="1">SUMIF(Top!$W$5:$W$168,$B190,Top!AK$5:AK$167)+SUMIF(Mid!$W$5:$W$168,$B190,Mid!AK$5:AK$167)</f>
        <v>0</v>
      </c>
      <c r="Q190">
        <f t="shared" ca="1" si="4"/>
        <v>0</v>
      </c>
      <c r="R190" s="17">
        <f t="shared" ca="1" si="5"/>
        <v>0</v>
      </c>
    </row>
    <row r="191" spans="2:18" x14ac:dyDescent="0.25">
      <c r="B191" t="s">
        <v>215</v>
      </c>
      <c r="C191">
        <f ca="1">SUMIF(Top!$W$5:$W$168,$B191,Top!X$5:X$167)+SUMIF(Mid!$W$5:$W$168,$B191,Mid!X$5:X$167)</f>
        <v>0</v>
      </c>
      <c r="D191">
        <f ca="1">SUMIF(Top!$W$5:$W$168,$B191,Top!Y$5:Y$167)+SUMIF(Mid!$W$5:$W$168,$B191,Mid!Y$5:Y$167)</f>
        <v>0</v>
      </c>
      <c r="E191">
        <f ca="1">SUMIF(Top!$W$5:$W$168,$B191,Top!Z$5:Z$167)+SUMIF(Mid!$W$5:$W$168,$B191,Mid!Z$5:Z$167)</f>
        <v>0</v>
      </c>
      <c r="F191">
        <f ca="1">SUMIF(Top!$W$5:$W$168,$B191,Top!AA$5:AA$167)+SUMIF(Mid!$W$5:$W$168,$B191,Mid!AA$5:AA$167)</f>
        <v>0</v>
      </c>
      <c r="G191">
        <f ca="1">SUMIF(Top!$W$5:$W$168,$B191,Top!AB$5:AB$167)+SUMIF(Mid!$W$5:$W$168,$B191,Mid!AB$5:AB$167)</f>
        <v>0</v>
      </c>
      <c r="H191">
        <f ca="1">SUMIF(Top!$W$5:$W$168,$B191,Top!AC$5:AC$167)+SUMIF(Mid!$W$5:$W$168,$B191,Mid!AC$5:AC$167)</f>
        <v>0</v>
      </c>
      <c r="I191">
        <f ca="1">SUMIF(Top!$W$5:$W$168,$B191,Top!AD$5:AD$167)+SUMIF(Mid!$W$5:$W$168,$B191,Mid!AD$5:AD$167)</f>
        <v>0</v>
      </c>
      <c r="J191">
        <f ca="1">SUMIF(Top!$W$5:$W$168,$B191,Top!AE$5:AE$167)+SUMIF(Mid!$W$5:$W$168,$B191,Mid!AE$5:AE$167)</f>
        <v>0</v>
      </c>
      <c r="K191">
        <f ca="1">SUMIF(Top!$W$5:$W$168,$B191,Top!AF$5:AF$167)+SUMIF(Mid!$W$5:$W$168,$B191,Mid!AF$5:AF$167)</f>
        <v>0</v>
      </c>
      <c r="L191">
        <f ca="1">SUMIF(Top!$W$5:$W$168,$B191,Top!AG$5:AG$167)+SUMIF(Mid!$W$5:$W$168,$B191,Mid!AG$5:AG$167)</f>
        <v>0</v>
      </c>
      <c r="M191">
        <f ca="1">SUMIF(Top!$W$5:$W$168,$B191,Top!AH$5:AH$167)+SUMIF(Mid!$W$5:$W$168,$B191,Mid!AH$5:AH$167)</f>
        <v>0</v>
      </c>
      <c r="N191">
        <f ca="1">SUMIF(Top!$W$5:$W$168,$B191,Top!AI$5:AI$167)+SUMIF(Mid!$W$5:$W$168,$B191,Mid!AI$5:AI$167)</f>
        <v>0</v>
      </c>
      <c r="O191">
        <f ca="1">SUMIF(Top!$W$5:$W$168,$B191,Top!AJ$5:AJ$167)+SUMIF(Mid!$W$5:$W$168,$B191,Mid!AJ$5:AJ$167)</f>
        <v>0</v>
      </c>
      <c r="P191">
        <f ca="1">SUMIF(Top!$W$5:$W$168,$B191,Top!AK$5:AK$167)+SUMIF(Mid!$W$5:$W$168,$B191,Mid!AK$5:AK$167)</f>
        <v>0</v>
      </c>
      <c r="Q191">
        <f t="shared" ca="1" si="4"/>
        <v>0</v>
      </c>
      <c r="R191" s="17">
        <f t="shared" ca="1" si="5"/>
        <v>0</v>
      </c>
    </row>
    <row r="192" spans="2:18" x14ac:dyDescent="0.25">
      <c r="B192" t="s">
        <v>217</v>
      </c>
      <c r="C192">
        <f ca="1">SUMIF(Top!$W$5:$W$168,$B192,Top!X$5:X$167)+SUMIF(Mid!$W$5:$W$168,$B192,Mid!X$5:X$167)</f>
        <v>0</v>
      </c>
      <c r="D192">
        <f ca="1">SUMIF(Top!$W$5:$W$168,$B192,Top!Y$5:Y$167)+SUMIF(Mid!$W$5:$W$168,$B192,Mid!Y$5:Y$167)</f>
        <v>0</v>
      </c>
      <c r="E192">
        <f ca="1">SUMIF(Top!$W$5:$W$168,$B192,Top!Z$5:Z$167)+SUMIF(Mid!$W$5:$W$168,$B192,Mid!Z$5:Z$167)</f>
        <v>0</v>
      </c>
      <c r="F192">
        <f ca="1">SUMIF(Top!$W$5:$W$168,$B192,Top!AA$5:AA$167)+SUMIF(Mid!$W$5:$W$168,$B192,Mid!AA$5:AA$167)</f>
        <v>0</v>
      </c>
      <c r="G192">
        <f ca="1">SUMIF(Top!$W$5:$W$168,$B192,Top!AB$5:AB$167)+SUMIF(Mid!$W$5:$W$168,$B192,Mid!AB$5:AB$167)</f>
        <v>0</v>
      </c>
      <c r="H192">
        <f ca="1">SUMIF(Top!$W$5:$W$168,$B192,Top!AC$5:AC$167)+SUMIF(Mid!$W$5:$W$168,$B192,Mid!AC$5:AC$167)</f>
        <v>0</v>
      </c>
      <c r="I192">
        <f ca="1">SUMIF(Top!$W$5:$W$168,$B192,Top!AD$5:AD$167)+SUMIF(Mid!$W$5:$W$168,$B192,Mid!AD$5:AD$167)</f>
        <v>0</v>
      </c>
      <c r="J192">
        <f ca="1">SUMIF(Top!$W$5:$W$168,$B192,Top!AE$5:AE$167)+SUMIF(Mid!$W$5:$W$168,$B192,Mid!AE$5:AE$167)</f>
        <v>0</v>
      </c>
      <c r="K192">
        <f ca="1">SUMIF(Top!$W$5:$W$168,$B192,Top!AF$5:AF$167)+SUMIF(Mid!$W$5:$W$168,$B192,Mid!AF$5:AF$167)</f>
        <v>0</v>
      </c>
      <c r="L192">
        <f ca="1">SUMIF(Top!$W$5:$W$168,$B192,Top!AG$5:AG$167)+SUMIF(Mid!$W$5:$W$168,$B192,Mid!AG$5:AG$167)</f>
        <v>0</v>
      </c>
      <c r="M192">
        <f ca="1">SUMIF(Top!$W$5:$W$168,$B192,Top!AH$5:AH$167)+SUMIF(Mid!$W$5:$W$168,$B192,Mid!AH$5:AH$167)</f>
        <v>0</v>
      </c>
      <c r="N192">
        <f ca="1">SUMIF(Top!$W$5:$W$168,$B192,Top!AI$5:AI$167)+SUMIF(Mid!$W$5:$W$168,$B192,Mid!AI$5:AI$167)</f>
        <v>0</v>
      </c>
      <c r="O192">
        <f ca="1">SUMIF(Top!$W$5:$W$168,$B192,Top!AJ$5:AJ$167)+SUMIF(Mid!$W$5:$W$168,$B192,Mid!AJ$5:AJ$167)</f>
        <v>0</v>
      </c>
      <c r="P192">
        <f ca="1">SUMIF(Top!$W$5:$W$168,$B192,Top!AK$5:AK$167)+SUMIF(Mid!$W$5:$W$168,$B192,Mid!AK$5:AK$167)</f>
        <v>0</v>
      </c>
      <c r="Q192">
        <f t="shared" ca="1" si="4"/>
        <v>0</v>
      </c>
      <c r="R192" s="17">
        <f t="shared" ca="1" si="5"/>
        <v>0</v>
      </c>
    </row>
    <row r="193" spans="2:18" x14ac:dyDescent="0.25">
      <c r="B193" t="s">
        <v>218</v>
      </c>
      <c r="C193">
        <f ca="1">SUMIF(Top!$W$5:$W$168,$B193,Top!X$5:X$167)+SUMIF(Mid!$W$5:$W$168,$B193,Mid!X$5:X$167)</f>
        <v>0</v>
      </c>
      <c r="D193">
        <f ca="1">SUMIF(Top!$W$5:$W$168,$B193,Top!Y$5:Y$167)+SUMIF(Mid!$W$5:$W$168,$B193,Mid!Y$5:Y$167)</f>
        <v>0</v>
      </c>
      <c r="E193">
        <f ca="1">SUMIF(Top!$W$5:$W$168,$B193,Top!Z$5:Z$167)+SUMIF(Mid!$W$5:$W$168,$B193,Mid!Z$5:Z$167)</f>
        <v>0</v>
      </c>
      <c r="F193">
        <f ca="1">SUMIF(Top!$W$5:$W$168,$B193,Top!AA$5:AA$167)+SUMIF(Mid!$W$5:$W$168,$B193,Mid!AA$5:AA$167)</f>
        <v>0</v>
      </c>
      <c r="G193">
        <f ca="1">SUMIF(Top!$W$5:$W$168,$B193,Top!AB$5:AB$167)+SUMIF(Mid!$W$5:$W$168,$B193,Mid!AB$5:AB$167)</f>
        <v>0</v>
      </c>
      <c r="H193">
        <f ca="1">SUMIF(Top!$W$5:$W$168,$B193,Top!AC$5:AC$167)+SUMIF(Mid!$W$5:$W$168,$B193,Mid!AC$5:AC$167)</f>
        <v>0</v>
      </c>
      <c r="I193">
        <f ca="1">SUMIF(Top!$W$5:$W$168,$B193,Top!AD$5:AD$167)+SUMIF(Mid!$W$5:$W$168,$B193,Mid!AD$5:AD$167)</f>
        <v>0</v>
      </c>
      <c r="J193">
        <f ca="1">SUMIF(Top!$W$5:$W$168,$B193,Top!AE$5:AE$167)+SUMIF(Mid!$W$5:$W$168,$B193,Mid!AE$5:AE$167)</f>
        <v>0</v>
      </c>
      <c r="K193">
        <f ca="1">SUMIF(Top!$W$5:$W$168,$B193,Top!AF$5:AF$167)+SUMIF(Mid!$W$5:$W$168,$B193,Mid!AF$5:AF$167)</f>
        <v>0</v>
      </c>
      <c r="L193">
        <f ca="1">SUMIF(Top!$W$5:$W$168,$B193,Top!AG$5:AG$167)+SUMIF(Mid!$W$5:$W$168,$B193,Mid!AG$5:AG$167)</f>
        <v>0</v>
      </c>
      <c r="M193">
        <f ca="1">SUMIF(Top!$W$5:$W$168,$B193,Top!AH$5:AH$167)+SUMIF(Mid!$W$5:$W$168,$B193,Mid!AH$5:AH$167)</f>
        <v>0</v>
      </c>
      <c r="N193">
        <f ca="1">SUMIF(Top!$W$5:$W$168,$B193,Top!AI$5:AI$167)+SUMIF(Mid!$W$5:$W$168,$B193,Mid!AI$5:AI$167)</f>
        <v>0</v>
      </c>
      <c r="O193">
        <f ca="1">SUMIF(Top!$W$5:$W$168,$B193,Top!AJ$5:AJ$167)+SUMIF(Mid!$W$5:$W$168,$B193,Mid!AJ$5:AJ$167)</f>
        <v>0</v>
      </c>
      <c r="P193">
        <f ca="1">SUMIF(Top!$W$5:$W$168,$B193,Top!AK$5:AK$167)+SUMIF(Mid!$W$5:$W$168,$B193,Mid!AK$5:AK$167)</f>
        <v>0</v>
      </c>
      <c r="Q193">
        <f t="shared" ca="1" si="4"/>
        <v>0</v>
      </c>
      <c r="R193" s="17">
        <f t="shared" ca="1" si="5"/>
        <v>0</v>
      </c>
    </row>
    <row r="194" spans="2:18" x14ac:dyDescent="0.25">
      <c r="B194" t="s">
        <v>219</v>
      </c>
      <c r="C194">
        <f ca="1">SUMIF(Top!$W$5:$W$168,$B194,Top!X$5:X$167)+SUMIF(Mid!$W$5:$W$168,$B194,Mid!X$5:X$167)</f>
        <v>0</v>
      </c>
      <c r="D194">
        <f ca="1">SUMIF(Top!$W$5:$W$168,$B194,Top!Y$5:Y$167)+SUMIF(Mid!$W$5:$W$168,$B194,Mid!Y$5:Y$167)</f>
        <v>0</v>
      </c>
      <c r="E194">
        <f ca="1">SUMIF(Top!$W$5:$W$168,$B194,Top!Z$5:Z$167)+SUMIF(Mid!$W$5:$W$168,$B194,Mid!Z$5:Z$167)</f>
        <v>0</v>
      </c>
      <c r="F194">
        <f ca="1">SUMIF(Top!$W$5:$W$168,$B194,Top!AA$5:AA$167)+SUMIF(Mid!$W$5:$W$168,$B194,Mid!AA$5:AA$167)</f>
        <v>0</v>
      </c>
      <c r="G194">
        <f ca="1">SUMIF(Top!$W$5:$W$168,$B194,Top!AB$5:AB$167)+SUMIF(Mid!$W$5:$W$168,$B194,Mid!AB$5:AB$167)</f>
        <v>0</v>
      </c>
      <c r="H194">
        <f ca="1">SUMIF(Top!$W$5:$W$168,$B194,Top!AC$5:AC$167)+SUMIF(Mid!$W$5:$W$168,$B194,Mid!AC$5:AC$167)</f>
        <v>0</v>
      </c>
      <c r="I194">
        <f ca="1">SUMIF(Top!$W$5:$W$168,$B194,Top!AD$5:AD$167)+SUMIF(Mid!$W$5:$W$168,$B194,Mid!AD$5:AD$167)</f>
        <v>0</v>
      </c>
      <c r="J194">
        <f ca="1">SUMIF(Top!$W$5:$W$168,$B194,Top!AE$5:AE$167)+SUMIF(Mid!$W$5:$W$168,$B194,Mid!AE$5:AE$167)</f>
        <v>0</v>
      </c>
      <c r="K194">
        <f ca="1">SUMIF(Top!$W$5:$W$168,$B194,Top!AF$5:AF$167)+SUMIF(Mid!$W$5:$W$168,$B194,Mid!AF$5:AF$167)</f>
        <v>0</v>
      </c>
      <c r="L194">
        <f ca="1">SUMIF(Top!$W$5:$W$168,$B194,Top!AG$5:AG$167)+SUMIF(Mid!$W$5:$W$168,$B194,Mid!AG$5:AG$167)</f>
        <v>0</v>
      </c>
      <c r="M194">
        <f ca="1">SUMIF(Top!$W$5:$W$168,$B194,Top!AH$5:AH$167)+SUMIF(Mid!$W$5:$W$168,$B194,Mid!AH$5:AH$167)</f>
        <v>0</v>
      </c>
      <c r="N194">
        <f ca="1">SUMIF(Top!$W$5:$W$168,$B194,Top!AI$5:AI$167)+SUMIF(Mid!$W$5:$W$168,$B194,Mid!AI$5:AI$167)</f>
        <v>0</v>
      </c>
      <c r="O194">
        <f ca="1">SUMIF(Top!$W$5:$W$168,$B194,Top!AJ$5:AJ$167)+SUMIF(Mid!$W$5:$W$168,$B194,Mid!AJ$5:AJ$167)</f>
        <v>0</v>
      </c>
      <c r="P194">
        <f ca="1">SUMIF(Top!$W$5:$W$168,$B194,Top!AK$5:AK$167)+SUMIF(Mid!$W$5:$W$168,$B194,Mid!AK$5:AK$167)</f>
        <v>0</v>
      </c>
      <c r="Q194">
        <f t="shared" ca="1" si="4"/>
        <v>0</v>
      </c>
      <c r="R194" s="17">
        <f t="shared" ca="1" si="5"/>
        <v>0</v>
      </c>
    </row>
    <row r="195" spans="2:18" x14ac:dyDescent="0.25">
      <c r="B195" t="s">
        <v>221</v>
      </c>
      <c r="C195">
        <f ca="1">SUMIF(Top!$W$5:$W$168,$B195,Top!X$5:X$167)+SUMIF(Mid!$W$5:$W$168,$B195,Mid!X$5:X$167)</f>
        <v>0</v>
      </c>
      <c r="D195">
        <f ca="1">SUMIF(Top!$W$5:$W$168,$B195,Top!Y$5:Y$167)+SUMIF(Mid!$W$5:$W$168,$B195,Mid!Y$5:Y$167)</f>
        <v>0</v>
      </c>
      <c r="E195">
        <f ca="1">SUMIF(Top!$W$5:$W$168,$B195,Top!Z$5:Z$167)+SUMIF(Mid!$W$5:$W$168,$B195,Mid!Z$5:Z$167)</f>
        <v>0</v>
      </c>
      <c r="F195">
        <f ca="1">SUMIF(Top!$W$5:$W$168,$B195,Top!AA$5:AA$167)+SUMIF(Mid!$W$5:$W$168,$B195,Mid!AA$5:AA$167)</f>
        <v>0</v>
      </c>
      <c r="G195">
        <f ca="1">SUMIF(Top!$W$5:$W$168,$B195,Top!AB$5:AB$167)+SUMIF(Mid!$W$5:$W$168,$B195,Mid!AB$5:AB$167)</f>
        <v>0</v>
      </c>
      <c r="H195">
        <f ca="1">SUMIF(Top!$W$5:$W$168,$B195,Top!AC$5:AC$167)+SUMIF(Mid!$W$5:$W$168,$B195,Mid!AC$5:AC$167)</f>
        <v>0</v>
      </c>
      <c r="I195">
        <f ca="1">SUMIF(Top!$W$5:$W$168,$B195,Top!AD$5:AD$167)+SUMIF(Mid!$W$5:$W$168,$B195,Mid!AD$5:AD$167)</f>
        <v>0</v>
      </c>
      <c r="J195">
        <f ca="1">SUMIF(Top!$W$5:$W$168,$B195,Top!AE$5:AE$167)+SUMIF(Mid!$W$5:$W$168,$B195,Mid!AE$5:AE$167)</f>
        <v>0</v>
      </c>
      <c r="K195">
        <f ca="1">SUMIF(Top!$W$5:$W$168,$B195,Top!AF$5:AF$167)+SUMIF(Mid!$W$5:$W$168,$B195,Mid!AF$5:AF$167)</f>
        <v>0</v>
      </c>
      <c r="L195">
        <f ca="1">SUMIF(Top!$W$5:$W$168,$B195,Top!AG$5:AG$167)+SUMIF(Mid!$W$5:$W$168,$B195,Mid!AG$5:AG$167)</f>
        <v>0</v>
      </c>
      <c r="M195">
        <f ca="1">SUMIF(Top!$W$5:$W$168,$B195,Top!AH$5:AH$167)+SUMIF(Mid!$W$5:$W$168,$B195,Mid!AH$5:AH$167)</f>
        <v>0</v>
      </c>
      <c r="N195">
        <f ca="1">SUMIF(Top!$W$5:$W$168,$B195,Top!AI$5:AI$167)+SUMIF(Mid!$W$5:$W$168,$B195,Mid!AI$5:AI$167)</f>
        <v>0</v>
      </c>
      <c r="O195">
        <f ca="1">SUMIF(Top!$W$5:$W$168,$B195,Top!AJ$5:AJ$167)+SUMIF(Mid!$W$5:$W$168,$B195,Mid!AJ$5:AJ$167)</f>
        <v>0</v>
      </c>
      <c r="P195">
        <f ca="1">SUMIF(Top!$W$5:$W$168,$B195,Top!AK$5:AK$167)+SUMIF(Mid!$W$5:$W$168,$B195,Mid!AK$5:AK$167)</f>
        <v>0</v>
      </c>
      <c r="Q195">
        <f t="shared" ca="1" si="4"/>
        <v>0</v>
      </c>
      <c r="R195" s="17">
        <f t="shared" ca="1" si="5"/>
        <v>0</v>
      </c>
    </row>
    <row r="196" spans="2:18" x14ac:dyDescent="0.25">
      <c r="B196" t="s">
        <v>222</v>
      </c>
      <c r="C196">
        <f ca="1">SUMIF(Top!$W$5:$W$168,$B196,Top!X$5:X$167)+SUMIF(Mid!$W$5:$W$168,$B196,Mid!X$5:X$167)</f>
        <v>0</v>
      </c>
      <c r="D196">
        <f ca="1">SUMIF(Top!$W$5:$W$168,$B196,Top!Y$5:Y$167)+SUMIF(Mid!$W$5:$W$168,$B196,Mid!Y$5:Y$167)</f>
        <v>0</v>
      </c>
      <c r="E196">
        <f ca="1">SUMIF(Top!$W$5:$W$168,$B196,Top!Z$5:Z$167)+SUMIF(Mid!$W$5:$W$168,$B196,Mid!Z$5:Z$167)</f>
        <v>0</v>
      </c>
      <c r="F196">
        <f ca="1">SUMIF(Top!$W$5:$W$168,$B196,Top!AA$5:AA$167)+SUMIF(Mid!$W$5:$W$168,$B196,Mid!AA$5:AA$167)</f>
        <v>0</v>
      </c>
      <c r="G196">
        <f ca="1">SUMIF(Top!$W$5:$W$168,$B196,Top!AB$5:AB$167)+SUMIF(Mid!$W$5:$W$168,$B196,Mid!AB$5:AB$167)</f>
        <v>0</v>
      </c>
      <c r="H196">
        <f ca="1">SUMIF(Top!$W$5:$W$168,$B196,Top!AC$5:AC$167)+SUMIF(Mid!$W$5:$W$168,$B196,Mid!AC$5:AC$167)</f>
        <v>0</v>
      </c>
      <c r="I196">
        <f ca="1">SUMIF(Top!$W$5:$W$168,$B196,Top!AD$5:AD$167)+SUMIF(Mid!$W$5:$W$168,$B196,Mid!AD$5:AD$167)</f>
        <v>0</v>
      </c>
      <c r="J196">
        <f ca="1">SUMIF(Top!$W$5:$W$168,$B196,Top!AE$5:AE$167)+SUMIF(Mid!$W$5:$W$168,$B196,Mid!AE$5:AE$167)</f>
        <v>0</v>
      </c>
      <c r="K196">
        <f ca="1">SUMIF(Top!$W$5:$W$168,$B196,Top!AF$5:AF$167)+SUMIF(Mid!$W$5:$W$168,$B196,Mid!AF$5:AF$167)</f>
        <v>0</v>
      </c>
      <c r="L196">
        <f ca="1">SUMIF(Top!$W$5:$W$168,$B196,Top!AG$5:AG$167)+SUMIF(Mid!$W$5:$W$168,$B196,Mid!AG$5:AG$167)</f>
        <v>0</v>
      </c>
      <c r="M196">
        <f ca="1">SUMIF(Top!$W$5:$W$168,$B196,Top!AH$5:AH$167)+SUMIF(Mid!$W$5:$W$168,$B196,Mid!AH$5:AH$167)</f>
        <v>0</v>
      </c>
      <c r="N196">
        <f ca="1">SUMIF(Top!$W$5:$W$168,$B196,Top!AI$5:AI$167)+SUMIF(Mid!$W$5:$W$168,$B196,Mid!AI$5:AI$167)</f>
        <v>0</v>
      </c>
      <c r="O196">
        <f ca="1">SUMIF(Top!$W$5:$W$168,$B196,Top!AJ$5:AJ$167)+SUMIF(Mid!$W$5:$W$168,$B196,Mid!AJ$5:AJ$167)</f>
        <v>0</v>
      </c>
      <c r="P196">
        <f ca="1">SUMIF(Top!$W$5:$W$168,$B196,Top!AK$5:AK$167)+SUMIF(Mid!$W$5:$W$168,$B196,Mid!AK$5:AK$167)</f>
        <v>0</v>
      </c>
      <c r="Q196">
        <f t="shared" ca="1" si="4"/>
        <v>0</v>
      </c>
      <c r="R196" s="17">
        <f t="shared" ca="1" si="5"/>
        <v>0</v>
      </c>
    </row>
    <row r="197" spans="2:18" x14ac:dyDescent="0.25">
      <c r="B197" t="s">
        <v>223</v>
      </c>
      <c r="C197">
        <f ca="1">SUMIF(Top!$W$5:$W$168,$B197,Top!X$5:X$167)+SUMIF(Mid!$W$5:$W$168,$B197,Mid!X$5:X$167)</f>
        <v>0</v>
      </c>
      <c r="D197">
        <f ca="1">SUMIF(Top!$W$5:$W$168,$B197,Top!Y$5:Y$167)+SUMIF(Mid!$W$5:$W$168,$B197,Mid!Y$5:Y$167)</f>
        <v>0</v>
      </c>
      <c r="E197">
        <f ca="1">SUMIF(Top!$W$5:$W$168,$B197,Top!Z$5:Z$167)+SUMIF(Mid!$W$5:$W$168,$B197,Mid!Z$5:Z$167)</f>
        <v>0</v>
      </c>
      <c r="F197">
        <f ca="1">SUMIF(Top!$W$5:$W$168,$B197,Top!AA$5:AA$167)+SUMIF(Mid!$W$5:$W$168,$B197,Mid!AA$5:AA$167)</f>
        <v>0</v>
      </c>
      <c r="G197">
        <f ca="1">SUMIF(Top!$W$5:$W$168,$B197,Top!AB$5:AB$167)+SUMIF(Mid!$W$5:$W$168,$B197,Mid!AB$5:AB$167)</f>
        <v>0</v>
      </c>
      <c r="H197">
        <f ca="1">SUMIF(Top!$W$5:$W$168,$B197,Top!AC$5:AC$167)+SUMIF(Mid!$W$5:$W$168,$B197,Mid!AC$5:AC$167)</f>
        <v>0</v>
      </c>
      <c r="I197">
        <f ca="1">SUMIF(Top!$W$5:$W$168,$B197,Top!AD$5:AD$167)+SUMIF(Mid!$W$5:$W$168,$B197,Mid!AD$5:AD$167)</f>
        <v>0</v>
      </c>
      <c r="J197">
        <f ca="1">SUMIF(Top!$W$5:$W$168,$B197,Top!AE$5:AE$167)+SUMIF(Mid!$W$5:$W$168,$B197,Mid!AE$5:AE$167)</f>
        <v>0</v>
      </c>
      <c r="K197">
        <f ca="1">SUMIF(Top!$W$5:$W$168,$B197,Top!AF$5:AF$167)+SUMIF(Mid!$W$5:$W$168,$B197,Mid!AF$5:AF$167)</f>
        <v>0</v>
      </c>
      <c r="L197">
        <f ca="1">SUMIF(Top!$W$5:$W$168,$B197,Top!AG$5:AG$167)+SUMIF(Mid!$W$5:$W$168,$B197,Mid!AG$5:AG$167)</f>
        <v>0</v>
      </c>
      <c r="M197">
        <f ca="1">SUMIF(Top!$W$5:$W$168,$B197,Top!AH$5:AH$167)+SUMIF(Mid!$W$5:$W$168,$B197,Mid!AH$5:AH$167)</f>
        <v>0</v>
      </c>
      <c r="N197">
        <f ca="1">SUMIF(Top!$W$5:$W$168,$B197,Top!AI$5:AI$167)+SUMIF(Mid!$W$5:$W$168,$B197,Mid!AI$5:AI$167)</f>
        <v>0</v>
      </c>
      <c r="O197">
        <f ca="1">SUMIF(Top!$W$5:$W$168,$B197,Top!AJ$5:AJ$167)+SUMIF(Mid!$W$5:$W$168,$B197,Mid!AJ$5:AJ$167)</f>
        <v>0</v>
      </c>
      <c r="P197">
        <f ca="1">SUMIF(Top!$W$5:$W$168,$B197,Top!AK$5:AK$167)+SUMIF(Mid!$W$5:$W$168,$B197,Mid!AK$5:AK$167)</f>
        <v>0</v>
      </c>
      <c r="Q197">
        <f t="shared" ca="1" si="4"/>
        <v>0</v>
      </c>
      <c r="R197" s="17">
        <f t="shared" ca="1" si="5"/>
        <v>0</v>
      </c>
    </row>
    <row r="198" spans="2:18" x14ac:dyDescent="0.25">
      <c r="B198" t="s">
        <v>225</v>
      </c>
      <c r="C198">
        <f ca="1">SUMIF(Top!$W$5:$W$168,$B198,Top!X$5:X$167)+SUMIF(Mid!$W$5:$W$168,$B198,Mid!X$5:X$167)</f>
        <v>0</v>
      </c>
      <c r="D198">
        <f ca="1">SUMIF(Top!$W$5:$W$168,$B198,Top!Y$5:Y$167)+SUMIF(Mid!$W$5:$W$168,$B198,Mid!Y$5:Y$167)</f>
        <v>0</v>
      </c>
      <c r="E198">
        <f ca="1">SUMIF(Top!$W$5:$W$168,$B198,Top!Z$5:Z$167)+SUMIF(Mid!$W$5:$W$168,$B198,Mid!Z$5:Z$167)</f>
        <v>0</v>
      </c>
      <c r="F198">
        <f ca="1">SUMIF(Top!$W$5:$W$168,$B198,Top!AA$5:AA$167)+SUMIF(Mid!$W$5:$W$168,$B198,Mid!AA$5:AA$167)</f>
        <v>0</v>
      </c>
      <c r="G198">
        <f ca="1">SUMIF(Top!$W$5:$W$168,$B198,Top!AB$5:AB$167)+SUMIF(Mid!$W$5:$W$168,$B198,Mid!AB$5:AB$167)</f>
        <v>0</v>
      </c>
      <c r="H198">
        <f ca="1">SUMIF(Top!$W$5:$W$168,$B198,Top!AC$5:AC$167)+SUMIF(Mid!$W$5:$W$168,$B198,Mid!AC$5:AC$167)</f>
        <v>0</v>
      </c>
      <c r="I198">
        <f ca="1">SUMIF(Top!$W$5:$W$168,$B198,Top!AD$5:AD$167)+SUMIF(Mid!$W$5:$W$168,$B198,Mid!AD$5:AD$167)</f>
        <v>0</v>
      </c>
      <c r="J198">
        <f ca="1">SUMIF(Top!$W$5:$W$168,$B198,Top!AE$5:AE$167)+SUMIF(Mid!$W$5:$W$168,$B198,Mid!AE$5:AE$167)</f>
        <v>0</v>
      </c>
      <c r="K198">
        <f ca="1">SUMIF(Top!$W$5:$W$168,$B198,Top!AF$5:AF$167)+SUMIF(Mid!$W$5:$W$168,$B198,Mid!AF$5:AF$167)</f>
        <v>0</v>
      </c>
      <c r="L198">
        <f ca="1">SUMIF(Top!$W$5:$W$168,$B198,Top!AG$5:AG$167)+SUMIF(Mid!$W$5:$W$168,$B198,Mid!AG$5:AG$167)</f>
        <v>0</v>
      </c>
      <c r="M198">
        <f ca="1">SUMIF(Top!$W$5:$W$168,$B198,Top!AH$5:AH$167)+SUMIF(Mid!$W$5:$W$168,$B198,Mid!AH$5:AH$167)</f>
        <v>0</v>
      </c>
      <c r="N198">
        <f ca="1">SUMIF(Top!$W$5:$W$168,$B198,Top!AI$5:AI$167)+SUMIF(Mid!$W$5:$W$168,$B198,Mid!AI$5:AI$167)</f>
        <v>0</v>
      </c>
      <c r="O198">
        <f ca="1">SUMIF(Top!$W$5:$W$168,$B198,Top!AJ$5:AJ$167)+SUMIF(Mid!$W$5:$W$168,$B198,Mid!AJ$5:AJ$167)</f>
        <v>0</v>
      </c>
      <c r="P198">
        <f ca="1">SUMIF(Top!$W$5:$W$168,$B198,Top!AK$5:AK$167)+SUMIF(Mid!$W$5:$W$168,$B198,Mid!AK$5:AK$167)</f>
        <v>0</v>
      </c>
      <c r="Q198">
        <f t="shared" ca="1" si="4"/>
        <v>0</v>
      </c>
      <c r="R198" s="17">
        <f t="shared" ca="1" si="5"/>
        <v>0</v>
      </c>
    </row>
    <row r="199" spans="2:18" x14ac:dyDescent="0.25">
      <c r="B199" t="s">
        <v>226</v>
      </c>
      <c r="C199">
        <f ca="1">SUMIF(Top!$W$5:$W$168,$B199,Top!X$5:X$167)+SUMIF(Mid!$W$5:$W$168,$B199,Mid!X$5:X$167)</f>
        <v>0</v>
      </c>
      <c r="D199">
        <f ca="1">SUMIF(Top!$W$5:$W$168,$B199,Top!Y$5:Y$167)+SUMIF(Mid!$W$5:$W$168,$B199,Mid!Y$5:Y$167)</f>
        <v>0</v>
      </c>
      <c r="E199">
        <f ca="1">SUMIF(Top!$W$5:$W$168,$B199,Top!Z$5:Z$167)+SUMIF(Mid!$W$5:$W$168,$B199,Mid!Z$5:Z$167)</f>
        <v>0</v>
      </c>
      <c r="F199">
        <f ca="1">SUMIF(Top!$W$5:$W$168,$B199,Top!AA$5:AA$167)+SUMIF(Mid!$W$5:$W$168,$B199,Mid!AA$5:AA$167)</f>
        <v>0</v>
      </c>
      <c r="G199">
        <f ca="1">SUMIF(Top!$W$5:$W$168,$B199,Top!AB$5:AB$167)+SUMIF(Mid!$W$5:$W$168,$B199,Mid!AB$5:AB$167)</f>
        <v>0</v>
      </c>
      <c r="H199">
        <f ca="1">SUMIF(Top!$W$5:$W$168,$B199,Top!AC$5:AC$167)+SUMIF(Mid!$W$5:$W$168,$B199,Mid!AC$5:AC$167)</f>
        <v>0</v>
      </c>
      <c r="I199">
        <f ca="1">SUMIF(Top!$W$5:$W$168,$B199,Top!AD$5:AD$167)+SUMIF(Mid!$W$5:$W$168,$B199,Mid!AD$5:AD$167)</f>
        <v>0</v>
      </c>
      <c r="J199">
        <f ca="1">SUMIF(Top!$W$5:$W$168,$B199,Top!AE$5:AE$167)+SUMIF(Mid!$W$5:$W$168,$B199,Mid!AE$5:AE$167)</f>
        <v>0</v>
      </c>
      <c r="K199">
        <f ca="1">SUMIF(Top!$W$5:$W$168,$B199,Top!AF$5:AF$167)+SUMIF(Mid!$W$5:$W$168,$B199,Mid!AF$5:AF$167)</f>
        <v>0</v>
      </c>
      <c r="L199">
        <f ca="1">SUMIF(Top!$W$5:$W$168,$B199,Top!AG$5:AG$167)+SUMIF(Mid!$W$5:$W$168,$B199,Mid!AG$5:AG$167)</f>
        <v>0</v>
      </c>
      <c r="M199">
        <f ca="1">SUMIF(Top!$W$5:$W$168,$B199,Top!AH$5:AH$167)+SUMIF(Mid!$W$5:$W$168,$B199,Mid!AH$5:AH$167)</f>
        <v>0</v>
      </c>
      <c r="N199">
        <f ca="1">SUMIF(Top!$W$5:$W$168,$B199,Top!AI$5:AI$167)+SUMIF(Mid!$W$5:$W$168,$B199,Mid!AI$5:AI$167)</f>
        <v>0</v>
      </c>
      <c r="O199">
        <f ca="1">SUMIF(Top!$W$5:$W$168,$B199,Top!AJ$5:AJ$167)+SUMIF(Mid!$W$5:$W$168,$B199,Mid!AJ$5:AJ$167)</f>
        <v>0</v>
      </c>
      <c r="P199">
        <f ca="1">SUMIF(Top!$W$5:$W$168,$B199,Top!AK$5:AK$167)+SUMIF(Mid!$W$5:$W$168,$B199,Mid!AK$5:AK$167)</f>
        <v>0</v>
      </c>
      <c r="Q199">
        <f t="shared" ca="1" si="4"/>
        <v>0</v>
      </c>
      <c r="R199" s="17">
        <f t="shared" ca="1" si="5"/>
        <v>0</v>
      </c>
    </row>
    <row r="200" spans="2:18" x14ac:dyDescent="0.25">
      <c r="B200" t="s">
        <v>227</v>
      </c>
      <c r="C200">
        <f ca="1">SUMIF(Top!$W$5:$W$168,$B200,Top!X$5:X$167)+SUMIF(Mid!$W$5:$W$168,$B200,Mid!X$5:X$167)</f>
        <v>0</v>
      </c>
      <c r="D200">
        <f ca="1">SUMIF(Top!$W$5:$W$168,$B200,Top!Y$5:Y$167)+SUMIF(Mid!$W$5:$W$168,$B200,Mid!Y$5:Y$167)</f>
        <v>0</v>
      </c>
      <c r="E200">
        <f ca="1">SUMIF(Top!$W$5:$W$168,$B200,Top!Z$5:Z$167)+SUMIF(Mid!$W$5:$W$168,$B200,Mid!Z$5:Z$167)</f>
        <v>0</v>
      </c>
      <c r="F200">
        <f ca="1">SUMIF(Top!$W$5:$W$168,$B200,Top!AA$5:AA$167)+SUMIF(Mid!$W$5:$W$168,$B200,Mid!AA$5:AA$167)</f>
        <v>0</v>
      </c>
      <c r="G200">
        <f ca="1">SUMIF(Top!$W$5:$W$168,$B200,Top!AB$5:AB$167)+SUMIF(Mid!$W$5:$W$168,$B200,Mid!AB$5:AB$167)</f>
        <v>0</v>
      </c>
      <c r="H200">
        <f ca="1">SUMIF(Top!$W$5:$W$168,$B200,Top!AC$5:AC$167)+SUMIF(Mid!$W$5:$W$168,$B200,Mid!AC$5:AC$167)</f>
        <v>0</v>
      </c>
      <c r="I200">
        <f ca="1">SUMIF(Top!$W$5:$W$168,$B200,Top!AD$5:AD$167)+SUMIF(Mid!$W$5:$W$168,$B200,Mid!AD$5:AD$167)</f>
        <v>0</v>
      </c>
      <c r="J200">
        <f ca="1">SUMIF(Top!$W$5:$W$168,$B200,Top!AE$5:AE$167)+SUMIF(Mid!$W$5:$W$168,$B200,Mid!AE$5:AE$167)</f>
        <v>0</v>
      </c>
      <c r="K200">
        <f ca="1">SUMIF(Top!$W$5:$W$168,$B200,Top!AF$5:AF$167)+SUMIF(Mid!$W$5:$W$168,$B200,Mid!AF$5:AF$167)</f>
        <v>0</v>
      </c>
      <c r="L200">
        <f ca="1">SUMIF(Top!$W$5:$W$168,$B200,Top!AG$5:AG$167)+SUMIF(Mid!$W$5:$W$168,$B200,Mid!AG$5:AG$167)</f>
        <v>0</v>
      </c>
      <c r="M200">
        <f ca="1">SUMIF(Top!$W$5:$W$168,$B200,Top!AH$5:AH$167)+SUMIF(Mid!$W$5:$W$168,$B200,Mid!AH$5:AH$167)</f>
        <v>0</v>
      </c>
      <c r="N200">
        <f ca="1">SUMIF(Top!$W$5:$W$168,$B200,Top!AI$5:AI$167)+SUMIF(Mid!$W$5:$W$168,$B200,Mid!AI$5:AI$167)</f>
        <v>0</v>
      </c>
      <c r="O200">
        <f ca="1">SUMIF(Top!$W$5:$W$168,$B200,Top!AJ$5:AJ$167)+SUMIF(Mid!$W$5:$W$168,$B200,Mid!AJ$5:AJ$167)</f>
        <v>0</v>
      </c>
      <c r="P200">
        <f ca="1">SUMIF(Top!$W$5:$W$168,$B200,Top!AK$5:AK$167)+SUMIF(Mid!$W$5:$W$168,$B200,Mid!AK$5:AK$167)</f>
        <v>0</v>
      </c>
      <c r="Q200">
        <f t="shared" ca="1" si="4"/>
        <v>0</v>
      </c>
      <c r="R200" s="17">
        <f t="shared" ca="1" si="5"/>
        <v>0</v>
      </c>
    </row>
    <row r="201" spans="2:18" x14ac:dyDescent="0.25">
      <c r="B201" t="s">
        <v>228</v>
      </c>
      <c r="C201">
        <f ca="1">SUMIF(Top!$W$5:$W$168,$B201,Top!X$5:X$167)+SUMIF(Mid!$W$5:$W$168,$B201,Mid!X$5:X$167)</f>
        <v>0</v>
      </c>
      <c r="D201">
        <f ca="1">SUMIF(Top!$W$5:$W$168,$B201,Top!Y$5:Y$167)+SUMIF(Mid!$W$5:$W$168,$B201,Mid!Y$5:Y$167)</f>
        <v>0</v>
      </c>
      <c r="E201">
        <f ca="1">SUMIF(Top!$W$5:$W$168,$B201,Top!Z$5:Z$167)+SUMIF(Mid!$W$5:$W$168,$B201,Mid!Z$5:Z$167)</f>
        <v>0</v>
      </c>
      <c r="F201">
        <f ca="1">SUMIF(Top!$W$5:$W$168,$B201,Top!AA$5:AA$167)+SUMIF(Mid!$W$5:$W$168,$B201,Mid!AA$5:AA$167)</f>
        <v>0</v>
      </c>
      <c r="G201">
        <f ca="1">SUMIF(Top!$W$5:$W$168,$B201,Top!AB$5:AB$167)+SUMIF(Mid!$W$5:$W$168,$B201,Mid!AB$5:AB$167)</f>
        <v>0</v>
      </c>
      <c r="H201">
        <f ca="1">SUMIF(Top!$W$5:$W$168,$B201,Top!AC$5:AC$167)+SUMIF(Mid!$W$5:$W$168,$B201,Mid!AC$5:AC$167)</f>
        <v>0</v>
      </c>
      <c r="I201">
        <f ca="1">SUMIF(Top!$W$5:$W$168,$B201,Top!AD$5:AD$167)+SUMIF(Mid!$W$5:$W$168,$B201,Mid!AD$5:AD$167)</f>
        <v>0</v>
      </c>
      <c r="J201">
        <f ca="1">SUMIF(Top!$W$5:$W$168,$B201,Top!AE$5:AE$167)+SUMIF(Mid!$W$5:$W$168,$B201,Mid!AE$5:AE$167)</f>
        <v>0</v>
      </c>
      <c r="K201">
        <f ca="1">SUMIF(Top!$W$5:$W$168,$B201,Top!AF$5:AF$167)+SUMIF(Mid!$W$5:$W$168,$B201,Mid!AF$5:AF$167)</f>
        <v>0</v>
      </c>
      <c r="L201">
        <f ca="1">SUMIF(Top!$W$5:$W$168,$B201,Top!AG$5:AG$167)+SUMIF(Mid!$W$5:$W$168,$B201,Mid!AG$5:AG$167)</f>
        <v>0</v>
      </c>
      <c r="M201">
        <f ca="1">SUMIF(Top!$W$5:$W$168,$B201,Top!AH$5:AH$167)+SUMIF(Mid!$W$5:$W$168,$B201,Mid!AH$5:AH$167)</f>
        <v>0</v>
      </c>
      <c r="N201">
        <f ca="1">SUMIF(Top!$W$5:$W$168,$B201,Top!AI$5:AI$167)+SUMIF(Mid!$W$5:$W$168,$B201,Mid!AI$5:AI$167)</f>
        <v>0</v>
      </c>
      <c r="O201">
        <f ca="1">SUMIF(Top!$W$5:$W$168,$B201,Top!AJ$5:AJ$167)+SUMIF(Mid!$W$5:$W$168,$B201,Mid!AJ$5:AJ$167)</f>
        <v>0</v>
      </c>
      <c r="P201">
        <f ca="1">SUMIF(Top!$W$5:$W$168,$B201,Top!AK$5:AK$167)+SUMIF(Mid!$W$5:$W$168,$B201,Mid!AK$5:AK$167)</f>
        <v>0</v>
      </c>
      <c r="Q201">
        <f t="shared" ca="1" si="4"/>
        <v>0</v>
      </c>
      <c r="R201" s="17">
        <f t="shared" ca="1" si="5"/>
        <v>0</v>
      </c>
    </row>
    <row r="202" spans="2:18" x14ac:dyDescent="0.25">
      <c r="B202" t="s">
        <v>229</v>
      </c>
      <c r="C202">
        <f ca="1">SUMIF(Top!$W$5:$W$168,$B202,Top!X$5:X$167)+SUMIF(Mid!$W$5:$W$168,$B202,Mid!X$5:X$167)</f>
        <v>0</v>
      </c>
      <c r="D202">
        <f ca="1">SUMIF(Top!$W$5:$W$168,$B202,Top!Y$5:Y$167)+SUMIF(Mid!$W$5:$W$168,$B202,Mid!Y$5:Y$167)</f>
        <v>0</v>
      </c>
      <c r="E202">
        <f ca="1">SUMIF(Top!$W$5:$W$168,$B202,Top!Z$5:Z$167)+SUMIF(Mid!$W$5:$W$168,$B202,Mid!Z$5:Z$167)</f>
        <v>0</v>
      </c>
      <c r="F202">
        <f ca="1">SUMIF(Top!$W$5:$W$168,$B202,Top!AA$5:AA$167)+SUMIF(Mid!$W$5:$W$168,$B202,Mid!AA$5:AA$167)</f>
        <v>0</v>
      </c>
      <c r="G202">
        <f ca="1">SUMIF(Top!$W$5:$W$168,$B202,Top!AB$5:AB$167)+SUMIF(Mid!$W$5:$W$168,$B202,Mid!AB$5:AB$167)</f>
        <v>0</v>
      </c>
      <c r="H202">
        <f ca="1">SUMIF(Top!$W$5:$W$168,$B202,Top!AC$5:AC$167)+SUMIF(Mid!$W$5:$W$168,$B202,Mid!AC$5:AC$167)</f>
        <v>0</v>
      </c>
      <c r="I202">
        <f ca="1">SUMIF(Top!$W$5:$W$168,$B202,Top!AD$5:AD$167)+SUMIF(Mid!$W$5:$W$168,$B202,Mid!AD$5:AD$167)</f>
        <v>0</v>
      </c>
      <c r="J202">
        <f ca="1">SUMIF(Top!$W$5:$W$168,$B202,Top!AE$5:AE$167)+SUMIF(Mid!$W$5:$W$168,$B202,Mid!AE$5:AE$167)</f>
        <v>0</v>
      </c>
      <c r="K202">
        <f ca="1">SUMIF(Top!$W$5:$W$168,$B202,Top!AF$5:AF$167)+SUMIF(Mid!$W$5:$W$168,$B202,Mid!AF$5:AF$167)</f>
        <v>0</v>
      </c>
      <c r="L202">
        <f ca="1">SUMIF(Top!$W$5:$W$168,$B202,Top!AG$5:AG$167)+SUMIF(Mid!$W$5:$W$168,$B202,Mid!AG$5:AG$167)</f>
        <v>0</v>
      </c>
      <c r="M202">
        <f ca="1">SUMIF(Top!$W$5:$W$168,$B202,Top!AH$5:AH$167)+SUMIF(Mid!$W$5:$W$168,$B202,Mid!AH$5:AH$167)</f>
        <v>0</v>
      </c>
      <c r="N202">
        <f ca="1">SUMIF(Top!$W$5:$W$168,$B202,Top!AI$5:AI$167)+SUMIF(Mid!$W$5:$W$168,$B202,Mid!AI$5:AI$167)</f>
        <v>0</v>
      </c>
      <c r="O202">
        <f ca="1">SUMIF(Top!$W$5:$W$168,$B202,Top!AJ$5:AJ$167)+SUMIF(Mid!$W$5:$W$168,$B202,Mid!AJ$5:AJ$167)</f>
        <v>0</v>
      </c>
      <c r="P202">
        <f ca="1">SUMIF(Top!$W$5:$W$168,$B202,Top!AK$5:AK$167)+SUMIF(Mid!$W$5:$W$168,$B202,Mid!AK$5:AK$167)</f>
        <v>0</v>
      </c>
      <c r="Q202">
        <f t="shared" ca="1" si="4"/>
        <v>0</v>
      </c>
      <c r="R202" s="17">
        <f t="shared" ca="1" si="5"/>
        <v>0</v>
      </c>
    </row>
    <row r="203" spans="2:18" x14ac:dyDescent="0.25">
      <c r="B203" t="s">
        <v>230</v>
      </c>
      <c r="C203">
        <f ca="1">SUMIF(Top!$W$5:$W$168,$B203,Top!X$5:X$167)+SUMIF(Mid!$W$5:$W$168,$B203,Mid!X$5:X$167)</f>
        <v>0</v>
      </c>
      <c r="D203">
        <f ca="1">SUMIF(Top!$W$5:$W$168,$B203,Top!Y$5:Y$167)+SUMIF(Mid!$W$5:$W$168,$B203,Mid!Y$5:Y$167)</f>
        <v>0</v>
      </c>
      <c r="E203">
        <f ca="1">SUMIF(Top!$W$5:$W$168,$B203,Top!Z$5:Z$167)+SUMIF(Mid!$W$5:$W$168,$B203,Mid!Z$5:Z$167)</f>
        <v>0</v>
      </c>
      <c r="F203">
        <f ca="1">SUMIF(Top!$W$5:$W$168,$B203,Top!AA$5:AA$167)+SUMIF(Mid!$W$5:$W$168,$B203,Mid!AA$5:AA$167)</f>
        <v>0</v>
      </c>
      <c r="G203">
        <f ca="1">SUMIF(Top!$W$5:$W$168,$B203,Top!AB$5:AB$167)+SUMIF(Mid!$W$5:$W$168,$B203,Mid!AB$5:AB$167)</f>
        <v>0</v>
      </c>
      <c r="H203">
        <f ca="1">SUMIF(Top!$W$5:$W$168,$B203,Top!AC$5:AC$167)+SUMIF(Mid!$W$5:$W$168,$B203,Mid!AC$5:AC$167)</f>
        <v>0</v>
      </c>
      <c r="I203">
        <f ca="1">SUMIF(Top!$W$5:$W$168,$B203,Top!AD$5:AD$167)+SUMIF(Mid!$W$5:$W$168,$B203,Mid!AD$5:AD$167)</f>
        <v>0</v>
      </c>
      <c r="J203">
        <f ca="1">SUMIF(Top!$W$5:$W$168,$B203,Top!AE$5:AE$167)+SUMIF(Mid!$W$5:$W$168,$B203,Mid!AE$5:AE$167)</f>
        <v>0</v>
      </c>
      <c r="K203">
        <f ca="1">SUMIF(Top!$W$5:$W$168,$B203,Top!AF$5:AF$167)+SUMIF(Mid!$W$5:$W$168,$B203,Mid!AF$5:AF$167)</f>
        <v>0</v>
      </c>
      <c r="L203">
        <f ca="1">SUMIF(Top!$W$5:$W$168,$B203,Top!AG$5:AG$167)+SUMIF(Mid!$W$5:$W$168,$B203,Mid!AG$5:AG$167)</f>
        <v>0</v>
      </c>
      <c r="M203">
        <f ca="1">SUMIF(Top!$W$5:$W$168,$B203,Top!AH$5:AH$167)+SUMIF(Mid!$W$5:$W$168,$B203,Mid!AH$5:AH$167)</f>
        <v>0</v>
      </c>
      <c r="N203">
        <f ca="1">SUMIF(Top!$W$5:$W$168,$B203,Top!AI$5:AI$167)+SUMIF(Mid!$W$5:$W$168,$B203,Mid!AI$5:AI$167)</f>
        <v>0</v>
      </c>
      <c r="O203">
        <f ca="1">SUMIF(Top!$W$5:$W$168,$B203,Top!AJ$5:AJ$167)+SUMIF(Mid!$W$5:$W$168,$B203,Mid!AJ$5:AJ$167)</f>
        <v>0</v>
      </c>
      <c r="P203">
        <f ca="1">SUMIF(Top!$W$5:$W$168,$B203,Top!AK$5:AK$167)+SUMIF(Mid!$W$5:$W$168,$B203,Mid!AK$5:AK$167)</f>
        <v>0</v>
      </c>
      <c r="Q203">
        <f t="shared" ref="Q203:Q222" ca="1" si="6">SUM(C203:P203)</f>
        <v>0</v>
      </c>
      <c r="R203" s="17">
        <f t="shared" ref="R203:R222" ca="1" si="7">IF(Q203=0,0,Q203/COUNTIF(C203:P203,"&gt;0"))</f>
        <v>0</v>
      </c>
    </row>
    <row r="204" spans="2:18" x14ac:dyDescent="0.25">
      <c r="B204" t="s">
        <v>231</v>
      </c>
      <c r="C204">
        <f ca="1">SUMIF(Top!$W$5:$W$168,$B204,Top!X$5:X$167)+SUMIF(Mid!$W$5:$W$168,$B204,Mid!X$5:X$167)</f>
        <v>0</v>
      </c>
      <c r="D204">
        <f ca="1">SUMIF(Top!$W$5:$W$168,$B204,Top!Y$5:Y$167)+SUMIF(Mid!$W$5:$W$168,$B204,Mid!Y$5:Y$167)</f>
        <v>0</v>
      </c>
      <c r="E204">
        <f ca="1">SUMIF(Top!$W$5:$W$168,$B204,Top!Z$5:Z$167)+SUMIF(Mid!$W$5:$W$168,$B204,Mid!Z$5:Z$167)</f>
        <v>0</v>
      </c>
      <c r="F204">
        <f ca="1">SUMIF(Top!$W$5:$W$168,$B204,Top!AA$5:AA$167)+SUMIF(Mid!$W$5:$W$168,$B204,Mid!AA$5:AA$167)</f>
        <v>0</v>
      </c>
      <c r="G204">
        <f ca="1">SUMIF(Top!$W$5:$W$168,$B204,Top!AB$5:AB$167)+SUMIF(Mid!$W$5:$W$168,$B204,Mid!AB$5:AB$167)</f>
        <v>0</v>
      </c>
      <c r="H204">
        <f ca="1">SUMIF(Top!$W$5:$W$168,$B204,Top!AC$5:AC$167)+SUMIF(Mid!$W$5:$W$168,$B204,Mid!AC$5:AC$167)</f>
        <v>0</v>
      </c>
      <c r="I204">
        <f ca="1">SUMIF(Top!$W$5:$W$168,$B204,Top!AD$5:AD$167)+SUMIF(Mid!$W$5:$W$168,$B204,Mid!AD$5:AD$167)</f>
        <v>0</v>
      </c>
      <c r="J204">
        <f ca="1">SUMIF(Top!$W$5:$W$168,$B204,Top!AE$5:AE$167)+SUMIF(Mid!$W$5:$W$168,$B204,Mid!AE$5:AE$167)</f>
        <v>0</v>
      </c>
      <c r="K204">
        <f ca="1">SUMIF(Top!$W$5:$W$168,$B204,Top!AF$5:AF$167)+SUMIF(Mid!$W$5:$W$168,$B204,Mid!AF$5:AF$167)</f>
        <v>0</v>
      </c>
      <c r="L204">
        <f ca="1">SUMIF(Top!$W$5:$W$168,$B204,Top!AG$5:AG$167)+SUMIF(Mid!$W$5:$W$168,$B204,Mid!AG$5:AG$167)</f>
        <v>0</v>
      </c>
      <c r="M204">
        <f ca="1">SUMIF(Top!$W$5:$W$168,$B204,Top!AH$5:AH$167)+SUMIF(Mid!$W$5:$W$168,$B204,Mid!AH$5:AH$167)</f>
        <v>0</v>
      </c>
      <c r="N204">
        <f ca="1">SUMIF(Top!$W$5:$W$168,$B204,Top!AI$5:AI$167)+SUMIF(Mid!$W$5:$W$168,$B204,Mid!AI$5:AI$167)</f>
        <v>0</v>
      </c>
      <c r="O204">
        <f ca="1">SUMIF(Top!$W$5:$W$168,$B204,Top!AJ$5:AJ$167)+SUMIF(Mid!$W$5:$W$168,$B204,Mid!AJ$5:AJ$167)</f>
        <v>0</v>
      </c>
      <c r="P204">
        <f ca="1">SUMIF(Top!$W$5:$W$168,$B204,Top!AK$5:AK$167)+SUMIF(Mid!$W$5:$W$168,$B204,Mid!AK$5:AK$167)</f>
        <v>0</v>
      </c>
      <c r="Q204">
        <f t="shared" ca="1" si="6"/>
        <v>0</v>
      </c>
      <c r="R204" s="17">
        <f t="shared" ca="1" si="7"/>
        <v>0</v>
      </c>
    </row>
    <row r="205" spans="2:18" x14ac:dyDescent="0.25">
      <c r="B205" t="s">
        <v>233</v>
      </c>
      <c r="C205">
        <f ca="1">SUMIF(Top!$W$5:$W$168,$B205,Top!X$5:X$167)+SUMIF(Mid!$W$5:$W$168,$B205,Mid!X$5:X$167)</f>
        <v>0</v>
      </c>
      <c r="D205">
        <f ca="1">SUMIF(Top!$W$5:$W$168,$B205,Top!Y$5:Y$167)+SUMIF(Mid!$W$5:$W$168,$B205,Mid!Y$5:Y$167)</f>
        <v>0</v>
      </c>
      <c r="E205">
        <f ca="1">SUMIF(Top!$W$5:$W$168,$B205,Top!Z$5:Z$167)+SUMIF(Mid!$W$5:$W$168,$B205,Mid!Z$5:Z$167)</f>
        <v>0</v>
      </c>
      <c r="F205">
        <f ca="1">SUMIF(Top!$W$5:$W$168,$B205,Top!AA$5:AA$167)+SUMIF(Mid!$W$5:$W$168,$B205,Mid!AA$5:AA$167)</f>
        <v>0</v>
      </c>
      <c r="G205">
        <f ca="1">SUMIF(Top!$W$5:$W$168,$B205,Top!AB$5:AB$167)+SUMIF(Mid!$W$5:$W$168,$B205,Mid!AB$5:AB$167)</f>
        <v>0</v>
      </c>
      <c r="H205">
        <f ca="1">SUMIF(Top!$W$5:$W$168,$B205,Top!AC$5:AC$167)+SUMIF(Mid!$W$5:$W$168,$B205,Mid!AC$5:AC$167)</f>
        <v>0</v>
      </c>
      <c r="I205">
        <f ca="1">SUMIF(Top!$W$5:$W$168,$B205,Top!AD$5:AD$167)+SUMIF(Mid!$W$5:$W$168,$B205,Mid!AD$5:AD$167)</f>
        <v>0</v>
      </c>
      <c r="J205">
        <f ca="1">SUMIF(Top!$W$5:$W$168,$B205,Top!AE$5:AE$167)+SUMIF(Mid!$W$5:$W$168,$B205,Mid!AE$5:AE$167)</f>
        <v>0</v>
      </c>
      <c r="K205">
        <f ca="1">SUMIF(Top!$W$5:$W$168,$B205,Top!AF$5:AF$167)+SUMIF(Mid!$W$5:$W$168,$B205,Mid!AF$5:AF$167)</f>
        <v>0</v>
      </c>
      <c r="L205">
        <f ca="1">SUMIF(Top!$W$5:$W$168,$B205,Top!AG$5:AG$167)+SUMIF(Mid!$W$5:$W$168,$B205,Mid!AG$5:AG$167)</f>
        <v>0</v>
      </c>
      <c r="M205">
        <f ca="1">SUMIF(Top!$W$5:$W$168,$B205,Top!AH$5:AH$167)+SUMIF(Mid!$W$5:$W$168,$B205,Mid!AH$5:AH$167)</f>
        <v>0</v>
      </c>
      <c r="N205">
        <f ca="1">SUMIF(Top!$W$5:$W$168,$B205,Top!AI$5:AI$167)+SUMIF(Mid!$W$5:$W$168,$B205,Mid!AI$5:AI$167)</f>
        <v>0</v>
      </c>
      <c r="O205">
        <f ca="1">SUMIF(Top!$W$5:$W$168,$B205,Top!AJ$5:AJ$167)+SUMIF(Mid!$W$5:$W$168,$B205,Mid!AJ$5:AJ$167)</f>
        <v>0</v>
      </c>
      <c r="P205">
        <f ca="1">SUMIF(Top!$W$5:$W$168,$B205,Top!AK$5:AK$167)+SUMIF(Mid!$W$5:$W$168,$B205,Mid!AK$5:AK$167)</f>
        <v>0</v>
      </c>
      <c r="Q205">
        <f t="shared" ca="1" si="6"/>
        <v>0</v>
      </c>
      <c r="R205" s="17">
        <f t="shared" ca="1" si="7"/>
        <v>0</v>
      </c>
    </row>
    <row r="206" spans="2:18" x14ac:dyDescent="0.25">
      <c r="B206" t="s">
        <v>234</v>
      </c>
      <c r="C206">
        <f ca="1">SUMIF(Top!$W$5:$W$168,$B206,Top!X$5:X$167)+SUMIF(Mid!$W$5:$W$168,$B206,Mid!X$5:X$167)</f>
        <v>0</v>
      </c>
      <c r="D206">
        <f ca="1">SUMIF(Top!$W$5:$W$168,$B206,Top!Y$5:Y$167)+SUMIF(Mid!$W$5:$W$168,$B206,Mid!Y$5:Y$167)</f>
        <v>0</v>
      </c>
      <c r="E206">
        <f ca="1">SUMIF(Top!$W$5:$W$168,$B206,Top!Z$5:Z$167)+SUMIF(Mid!$W$5:$W$168,$B206,Mid!Z$5:Z$167)</f>
        <v>0</v>
      </c>
      <c r="F206">
        <f ca="1">SUMIF(Top!$W$5:$W$168,$B206,Top!AA$5:AA$167)+SUMIF(Mid!$W$5:$W$168,$B206,Mid!AA$5:AA$167)</f>
        <v>0</v>
      </c>
      <c r="G206">
        <f ca="1">SUMIF(Top!$W$5:$W$168,$B206,Top!AB$5:AB$167)+SUMIF(Mid!$W$5:$W$168,$B206,Mid!AB$5:AB$167)</f>
        <v>0</v>
      </c>
      <c r="H206">
        <f ca="1">SUMIF(Top!$W$5:$W$168,$B206,Top!AC$5:AC$167)+SUMIF(Mid!$W$5:$W$168,$B206,Mid!AC$5:AC$167)</f>
        <v>0</v>
      </c>
      <c r="I206">
        <f ca="1">SUMIF(Top!$W$5:$W$168,$B206,Top!AD$5:AD$167)+SUMIF(Mid!$W$5:$W$168,$B206,Mid!AD$5:AD$167)</f>
        <v>0</v>
      </c>
      <c r="J206">
        <f ca="1">SUMIF(Top!$W$5:$W$168,$B206,Top!AE$5:AE$167)+SUMIF(Mid!$W$5:$W$168,$B206,Mid!AE$5:AE$167)</f>
        <v>0</v>
      </c>
      <c r="K206">
        <f ca="1">SUMIF(Top!$W$5:$W$168,$B206,Top!AF$5:AF$167)+SUMIF(Mid!$W$5:$W$168,$B206,Mid!AF$5:AF$167)</f>
        <v>0</v>
      </c>
      <c r="L206">
        <f ca="1">SUMIF(Top!$W$5:$W$168,$B206,Top!AG$5:AG$167)+SUMIF(Mid!$W$5:$W$168,$B206,Mid!AG$5:AG$167)</f>
        <v>0</v>
      </c>
      <c r="M206">
        <f ca="1">SUMIF(Top!$W$5:$W$168,$B206,Top!AH$5:AH$167)+SUMIF(Mid!$W$5:$W$168,$B206,Mid!AH$5:AH$167)</f>
        <v>0</v>
      </c>
      <c r="N206">
        <f ca="1">SUMIF(Top!$W$5:$W$168,$B206,Top!AI$5:AI$167)+SUMIF(Mid!$W$5:$W$168,$B206,Mid!AI$5:AI$167)</f>
        <v>0</v>
      </c>
      <c r="O206">
        <f ca="1">SUMIF(Top!$W$5:$W$168,$B206,Top!AJ$5:AJ$167)+SUMIF(Mid!$W$5:$W$168,$B206,Mid!AJ$5:AJ$167)</f>
        <v>0</v>
      </c>
      <c r="P206">
        <f ca="1">SUMIF(Top!$W$5:$W$168,$B206,Top!AK$5:AK$167)+SUMIF(Mid!$W$5:$W$168,$B206,Mid!AK$5:AK$167)</f>
        <v>0</v>
      </c>
      <c r="Q206">
        <f t="shared" ca="1" si="6"/>
        <v>0</v>
      </c>
      <c r="R206" s="17">
        <f t="shared" ca="1" si="7"/>
        <v>0</v>
      </c>
    </row>
    <row r="207" spans="2:18" x14ac:dyDescent="0.25">
      <c r="B207" t="s">
        <v>236</v>
      </c>
      <c r="C207">
        <f ca="1">SUMIF(Top!$W$5:$W$168,$B207,Top!X$5:X$167)+SUMIF(Mid!$W$5:$W$168,$B207,Mid!X$5:X$167)</f>
        <v>0</v>
      </c>
      <c r="D207">
        <f ca="1">SUMIF(Top!$W$5:$W$168,$B207,Top!Y$5:Y$167)+SUMIF(Mid!$W$5:$W$168,$B207,Mid!Y$5:Y$167)</f>
        <v>0</v>
      </c>
      <c r="E207">
        <f ca="1">SUMIF(Top!$W$5:$W$168,$B207,Top!Z$5:Z$167)+SUMIF(Mid!$W$5:$W$168,$B207,Mid!Z$5:Z$167)</f>
        <v>0</v>
      </c>
      <c r="F207">
        <f ca="1">SUMIF(Top!$W$5:$W$168,$B207,Top!AA$5:AA$167)+SUMIF(Mid!$W$5:$W$168,$B207,Mid!AA$5:AA$167)</f>
        <v>0</v>
      </c>
      <c r="G207">
        <f ca="1">SUMIF(Top!$W$5:$W$168,$B207,Top!AB$5:AB$167)+SUMIF(Mid!$W$5:$W$168,$B207,Mid!AB$5:AB$167)</f>
        <v>0</v>
      </c>
      <c r="H207">
        <f ca="1">SUMIF(Top!$W$5:$W$168,$B207,Top!AC$5:AC$167)+SUMIF(Mid!$W$5:$W$168,$B207,Mid!AC$5:AC$167)</f>
        <v>0</v>
      </c>
      <c r="I207">
        <f ca="1">SUMIF(Top!$W$5:$W$168,$B207,Top!AD$5:AD$167)+SUMIF(Mid!$W$5:$W$168,$B207,Mid!AD$5:AD$167)</f>
        <v>0</v>
      </c>
      <c r="J207">
        <f ca="1">SUMIF(Top!$W$5:$W$168,$B207,Top!AE$5:AE$167)+SUMIF(Mid!$W$5:$W$168,$B207,Mid!AE$5:AE$167)</f>
        <v>0</v>
      </c>
      <c r="K207">
        <f ca="1">SUMIF(Top!$W$5:$W$168,$B207,Top!AF$5:AF$167)+SUMIF(Mid!$W$5:$W$168,$B207,Mid!AF$5:AF$167)</f>
        <v>0</v>
      </c>
      <c r="L207">
        <f ca="1">SUMIF(Top!$W$5:$W$168,$B207,Top!AG$5:AG$167)+SUMIF(Mid!$W$5:$W$168,$B207,Mid!AG$5:AG$167)</f>
        <v>0</v>
      </c>
      <c r="M207">
        <f ca="1">SUMIF(Top!$W$5:$W$168,$B207,Top!AH$5:AH$167)+SUMIF(Mid!$W$5:$W$168,$B207,Mid!AH$5:AH$167)</f>
        <v>0</v>
      </c>
      <c r="N207">
        <f ca="1">SUMIF(Top!$W$5:$W$168,$B207,Top!AI$5:AI$167)+SUMIF(Mid!$W$5:$W$168,$B207,Mid!AI$5:AI$167)</f>
        <v>0</v>
      </c>
      <c r="O207">
        <f ca="1">SUMIF(Top!$W$5:$W$168,$B207,Top!AJ$5:AJ$167)+SUMIF(Mid!$W$5:$W$168,$B207,Mid!AJ$5:AJ$167)</f>
        <v>0</v>
      </c>
      <c r="P207">
        <f ca="1">SUMIF(Top!$W$5:$W$168,$B207,Top!AK$5:AK$167)+SUMIF(Mid!$W$5:$W$168,$B207,Mid!AK$5:AK$167)</f>
        <v>0</v>
      </c>
      <c r="Q207">
        <f t="shared" ca="1" si="6"/>
        <v>0</v>
      </c>
      <c r="R207" s="17">
        <f t="shared" ca="1" si="7"/>
        <v>0</v>
      </c>
    </row>
    <row r="208" spans="2:18" x14ac:dyDescent="0.25">
      <c r="B208" t="s">
        <v>237</v>
      </c>
      <c r="C208">
        <f ca="1">SUMIF(Top!$W$5:$W$168,$B208,Top!X$5:X$167)+SUMIF(Mid!$W$5:$W$168,$B208,Mid!X$5:X$167)</f>
        <v>2</v>
      </c>
      <c r="D208">
        <f ca="1">SUMIF(Top!$W$5:$W$168,$B208,Top!Y$5:Y$167)+SUMIF(Mid!$W$5:$W$168,$B208,Mid!Y$5:Y$167)</f>
        <v>0</v>
      </c>
      <c r="E208">
        <f ca="1">SUMIF(Top!$W$5:$W$168,$B208,Top!Z$5:Z$167)+SUMIF(Mid!$W$5:$W$168,$B208,Mid!Z$5:Z$167)</f>
        <v>12</v>
      </c>
      <c r="F208">
        <f ca="1">SUMIF(Top!$W$5:$W$168,$B208,Top!AA$5:AA$167)+SUMIF(Mid!$W$5:$W$168,$B208,Mid!AA$5:AA$167)</f>
        <v>0</v>
      </c>
      <c r="G208">
        <f ca="1">SUMIF(Top!$W$5:$W$168,$B208,Top!AB$5:AB$167)+SUMIF(Mid!$W$5:$W$168,$B208,Mid!AB$5:AB$167)</f>
        <v>0</v>
      </c>
      <c r="H208">
        <f ca="1">SUMIF(Top!$W$5:$W$168,$B208,Top!AC$5:AC$167)+SUMIF(Mid!$W$5:$W$168,$B208,Mid!AC$5:AC$167)</f>
        <v>0</v>
      </c>
      <c r="I208">
        <f ca="1">SUMIF(Top!$W$5:$W$168,$B208,Top!AD$5:AD$167)+SUMIF(Mid!$W$5:$W$168,$B208,Mid!AD$5:AD$167)</f>
        <v>0</v>
      </c>
      <c r="J208">
        <f ca="1">SUMIF(Top!$W$5:$W$168,$B208,Top!AE$5:AE$167)+SUMIF(Mid!$W$5:$W$168,$B208,Mid!AE$5:AE$167)</f>
        <v>0</v>
      </c>
      <c r="K208">
        <f ca="1">SUMIF(Top!$W$5:$W$168,$B208,Top!AF$5:AF$167)+SUMIF(Mid!$W$5:$W$168,$B208,Mid!AF$5:AF$167)</f>
        <v>0</v>
      </c>
      <c r="L208">
        <f ca="1">SUMIF(Top!$W$5:$W$168,$B208,Top!AG$5:AG$167)+SUMIF(Mid!$W$5:$W$168,$B208,Mid!AG$5:AG$167)</f>
        <v>0</v>
      </c>
      <c r="M208">
        <f ca="1">SUMIF(Top!$W$5:$W$168,$B208,Top!AH$5:AH$167)+SUMIF(Mid!$W$5:$W$168,$B208,Mid!AH$5:AH$167)</f>
        <v>0</v>
      </c>
      <c r="N208">
        <f ca="1">SUMIF(Top!$W$5:$W$168,$B208,Top!AI$5:AI$167)+SUMIF(Mid!$W$5:$W$168,$B208,Mid!AI$5:AI$167)</f>
        <v>0</v>
      </c>
      <c r="O208">
        <f ca="1">SUMIF(Top!$W$5:$W$168,$B208,Top!AJ$5:AJ$167)+SUMIF(Mid!$W$5:$W$168,$B208,Mid!AJ$5:AJ$167)</f>
        <v>0</v>
      </c>
      <c r="P208">
        <f ca="1">SUMIF(Top!$W$5:$W$168,$B208,Top!AK$5:AK$167)+SUMIF(Mid!$W$5:$W$168,$B208,Mid!AK$5:AK$167)</f>
        <v>0</v>
      </c>
      <c r="Q208">
        <f t="shared" ca="1" si="6"/>
        <v>14</v>
      </c>
      <c r="R208" s="17">
        <f t="shared" ca="1" si="7"/>
        <v>7</v>
      </c>
    </row>
    <row r="209" spans="2:18" x14ac:dyDescent="0.25">
      <c r="B209" t="s">
        <v>238</v>
      </c>
      <c r="C209">
        <f ca="1">SUMIF(Top!$W$5:$W$168,$B209,Top!X$5:X$167)+SUMIF(Mid!$W$5:$W$168,$B209,Mid!X$5:X$167)</f>
        <v>0</v>
      </c>
      <c r="D209">
        <f ca="1">SUMIF(Top!$W$5:$W$168,$B209,Top!Y$5:Y$167)+SUMIF(Mid!$W$5:$W$168,$B209,Mid!Y$5:Y$167)</f>
        <v>0</v>
      </c>
      <c r="E209">
        <f ca="1">SUMIF(Top!$W$5:$W$168,$B209,Top!Z$5:Z$167)+SUMIF(Mid!$W$5:$W$168,$B209,Mid!Z$5:Z$167)</f>
        <v>0</v>
      </c>
      <c r="F209">
        <f ca="1">SUMIF(Top!$W$5:$W$168,$B209,Top!AA$5:AA$167)+SUMIF(Mid!$W$5:$W$168,$B209,Mid!AA$5:AA$167)</f>
        <v>0</v>
      </c>
      <c r="G209">
        <f ca="1">SUMIF(Top!$W$5:$W$168,$B209,Top!AB$5:AB$167)+SUMIF(Mid!$W$5:$W$168,$B209,Mid!AB$5:AB$167)</f>
        <v>0</v>
      </c>
      <c r="H209">
        <f ca="1">SUMIF(Top!$W$5:$W$168,$B209,Top!AC$5:AC$167)+SUMIF(Mid!$W$5:$W$168,$B209,Mid!AC$5:AC$167)</f>
        <v>0</v>
      </c>
      <c r="I209">
        <f ca="1">SUMIF(Top!$W$5:$W$168,$B209,Top!AD$5:AD$167)+SUMIF(Mid!$W$5:$W$168,$B209,Mid!AD$5:AD$167)</f>
        <v>0</v>
      </c>
      <c r="J209">
        <f ca="1">SUMIF(Top!$W$5:$W$168,$B209,Top!AE$5:AE$167)+SUMIF(Mid!$W$5:$W$168,$B209,Mid!AE$5:AE$167)</f>
        <v>0</v>
      </c>
      <c r="K209">
        <f ca="1">SUMIF(Top!$W$5:$W$168,$B209,Top!AF$5:AF$167)+SUMIF(Mid!$W$5:$W$168,$B209,Mid!AF$5:AF$167)</f>
        <v>0</v>
      </c>
      <c r="L209">
        <f ca="1">SUMIF(Top!$W$5:$W$168,$B209,Top!AG$5:AG$167)+SUMIF(Mid!$W$5:$W$168,$B209,Mid!AG$5:AG$167)</f>
        <v>0</v>
      </c>
      <c r="M209">
        <f ca="1">SUMIF(Top!$W$5:$W$168,$B209,Top!AH$5:AH$167)+SUMIF(Mid!$W$5:$W$168,$B209,Mid!AH$5:AH$167)</f>
        <v>0</v>
      </c>
      <c r="N209">
        <f ca="1">SUMIF(Top!$W$5:$W$168,$B209,Top!AI$5:AI$167)+SUMIF(Mid!$W$5:$W$168,$B209,Mid!AI$5:AI$167)</f>
        <v>0</v>
      </c>
      <c r="O209">
        <f ca="1">SUMIF(Top!$W$5:$W$168,$B209,Top!AJ$5:AJ$167)+SUMIF(Mid!$W$5:$W$168,$B209,Mid!AJ$5:AJ$167)</f>
        <v>0</v>
      </c>
      <c r="P209">
        <f ca="1">SUMIF(Top!$W$5:$W$168,$B209,Top!AK$5:AK$167)+SUMIF(Mid!$W$5:$W$168,$B209,Mid!AK$5:AK$167)</f>
        <v>0</v>
      </c>
      <c r="Q209">
        <f t="shared" ca="1" si="6"/>
        <v>0</v>
      </c>
      <c r="R209" s="17">
        <f t="shared" ca="1" si="7"/>
        <v>0</v>
      </c>
    </row>
    <row r="210" spans="2:18" x14ac:dyDescent="0.25">
      <c r="B210" t="s">
        <v>239</v>
      </c>
      <c r="C210">
        <f ca="1">SUMIF(Top!$W$5:$W$168,$B210,Top!X$5:X$167)+SUMIF(Mid!$W$5:$W$168,$B210,Mid!X$5:X$167)</f>
        <v>0</v>
      </c>
      <c r="D210">
        <f ca="1">SUMIF(Top!$W$5:$W$168,$B210,Top!Y$5:Y$167)+SUMIF(Mid!$W$5:$W$168,$B210,Mid!Y$5:Y$167)</f>
        <v>0</v>
      </c>
      <c r="E210">
        <f ca="1">SUMIF(Top!$W$5:$W$168,$B210,Top!Z$5:Z$167)+SUMIF(Mid!$W$5:$W$168,$B210,Mid!Z$5:Z$167)</f>
        <v>0</v>
      </c>
      <c r="F210">
        <f ca="1">SUMIF(Top!$W$5:$W$168,$B210,Top!AA$5:AA$167)+SUMIF(Mid!$W$5:$W$168,$B210,Mid!AA$5:AA$167)</f>
        <v>0</v>
      </c>
      <c r="G210">
        <f ca="1">SUMIF(Top!$W$5:$W$168,$B210,Top!AB$5:AB$167)+SUMIF(Mid!$W$5:$W$168,$B210,Mid!AB$5:AB$167)</f>
        <v>0</v>
      </c>
      <c r="H210">
        <f ca="1">SUMIF(Top!$W$5:$W$168,$B210,Top!AC$5:AC$167)+SUMIF(Mid!$W$5:$W$168,$B210,Mid!AC$5:AC$167)</f>
        <v>0</v>
      </c>
      <c r="I210">
        <f ca="1">SUMIF(Top!$W$5:$W$168,$B210,Top!AD$5:AD$167)+SUMIF(Mid!$W$5:$W$168,$B210,Mid!AD$5:AD$167)</f>
        <v>0</v>
      </c>
      <c r="J210">
        <f ca="1">SUMIF(Top!$W$5:$W$168,$B210,Top!AE$5:AE$167)+SUMIF(Mid!$W$5:$W$168,$B210,Mid!AE$5:AE$167)</f>
        <v>0</v>
      </c>
      <c r="K210">
        <f ca="1">SUMIF(Top!$W$5:$W$168,$B210,Top!AF$5:AF$167)+SUMIF(Mid!$W$5:$W$168,$B210,Mid!AF$5:AF$167)</f>
        <v>0</v>
      </c>
      <c r="L210">
        <f ca="1">SUMIF(Top!$W$5:$W$168,$B210,Top!AG$5:AG$167)+SUMIF(Mid!$W$5:$W$168,$B210,Mid!AG$5:AG$167)</f>
        <v>0</v>
      </c>
      <c r="M210">
        <f ca="1">SUMIF(Top!$W$5:$W$168,$B210,Top!AH$5:AH$167)+SUMIF(Mid!$W$5:$W$168,$B210,Mid!AH$5:AH$167)</f>
        <v>0</v>
      </c>
      <c r="N210">
        <f ca="1">SUMIF(Top!$W$5:$W$168,$B210,Top!AI$5:AI$167)+SUMIF(Mid!$W$5:$W$168,$B210,Mid!AI$5:AI$167)</f>
        <v>0</v>
      </c>
      <c r="O210">
        <f ca="1">SUMIF(Top!$W$5:$W$168,$B210,Top!AJ$5:AJ$167)+SUMIF(Mid!$W$5:$W$168,$B210,Mid!AJ$5:AJ$167)</f>
        <v>0</v>
      </c>
      <c r="P210">
        <f ca="1">SUMIF(Top!$W$5:$W$168,$B210,Top!AK$5:AK$167)+SUMIF(Mid!$W$5:$W$168,$B210,Mid!AK$5:AK$167)</f>
        <v>0</v>
      </c>
      <c r="Q210">
        <f t="shared" ca="1" si="6"/>
        <v>0</v>
      </c>
      <c r="R210" s="17">
        <f t="shared" ca="1" si="7"/>
        <v>0</v>
      </c>
    </row>
    <row r="211" spans="2:18" x14ac:dyDescent="0.25">
      <c r="B211" t="s">
        <v>240</v>
      </c>
      <c r="C211">
        <f ca="1">SUMIF(Top!$W$5:$W$168,$B211,Top!X$5:X$167)+SUMIF(Mid!$W$5:$W$168,$B211,Mid!X$5:X$167)</f>
        <v>0</v>
      </c>
      <c r="D211">
        <f ca="1">SUMIF(Top!$W$5:$W$168,$B211,Top!Y$5:Y$167)+SUMIF(Mid!$W$5:$W$168,$B211,Mid!Y$5:Y$167)</f>
        <v>0</v>
      </c>
      <c r="E211">
        <f ca="1">SUMIF(Top!$W$5:$W$168,$B211,Top!Z$5:Z$167)+SUMIF(Mid!$W$5:$W$168,$B211,Mid!Z$5:Z$167)</f>
        <v>0</v>
      </c>
      <c r="F211">
        <f ca="1">SUMIF(Top!$W$5:$W$168,$B211,Top!AA$5:AA$167)+SUMIF(Mid!$W$5:$W$168,$B211,Mid!AA$5:AA$167)</f>
        <v>0</v>
      </c>
      <c r="G211">
        <f ca="1">SUMIF(Top!$W$5:$W$168,$B211,Top!AB$5:AB$167)+SUMIF(Mid!$W$5:$W$168,$B211,Mid!AB$5:AB$167)</f>
        <v>0</v>
      </c>
      <c r="H211">
        <f ca="1">SUMIF(Top!$W$5:$W$168,$B211,Top!AC$5:AC$167)+SUMIF(Mid!$W$5:$W$168,$B211,Mid!AC$5:AC$167)</f>
        <v>0</v>
      </c>
      <c r="I211">
        <f ca="1">SUMIF(Top!$W$5:$W$168,$B211,Top!AD$5:AD$167)+SUMIF(Mid!$W$5:$W$168,$B211,Mid!AD$5:AD$167)</f>
        <v>0</v>
      </c>
      <c r="J211">
        <f ca="1">SUMIF(Top!$W$5:$W$168,$B211,Top!AE$5:AE$167)+SUMIF(Mid!$W$5:$W$168,$B211,Mid!AE$5:AE$167)</f>
        <v>0</v>
      </c>
      <c r="K211">
        <f ca="1">SUMIF(Top!$W$5:$W$168,$B211,Top!AF$5:AF$167)+SUMIF(Mid!$W$5:$W$168,$B211,Mid!AF$5:AF$167)</f>
        <v>0</v>
      </c>
      <c r="L211">
        <f ca="1">SUMIF(Top!$W$5:$W$168,$B211,Top!AG$5:AG$167)+SUMIF(Mid!$W$5:$W$168,$B211,Mid!AG$5:AG$167)</f>
        <v>0</v>
      </c>
      <c r="M211">
        <f ca="1">SUMIF(Top!$W$5:$W$168,$B211,Top!AH$5:AH$167)+SUMIF(Mid!$W$5:$W$168,$B211,Mid!AH$5:AH$167)</f>
        <v>0</v>
      </c>
      <c r="N211">
        <f ca="1">SUMIF(Top!$W$5:$W$168,$B211,Top!AI$5:AI$167)+SUMIF(Mid!$W$5:$W$168,$B211,Mid!AI$5:AI$167)</f>
        <v>0</v>
      </c>
      <c r="O211">
        <f ca="1">SUMIF(Top!$W$5:$W$168,$B211,Top!AJ$5:AJ$167)+SUMIF(Mid!$W$5:$W$168,$B211,Mid!AJ$5:AJ$167)</f>
        <v>0</v>
      </c>
      <c r="P211">
        <f ca="1">SUMIF(Top!$W$5:$W$168,$B211,Top!AK$5:AK$167)+SUMIF(Mid!$W$5:$W$168,$B211,Mid!AK$5:AK$167)</f>
        <v>0</v>
      </c>
      <c r="Q211">
        <f t="shared" ca="1" si="6"/>
        <v>0</v>
      </c>
      <c r="R211" s="17">
        <f t="shared" ca="1" si="7"/>
        <v>0</v>
      </c>
    </row>
    <row r="212" spans="2:18" x14ac:dyDescent="0.25">
      <c r="B212" t="s">
        <v>242</v>
      </c>
      <c r="C212">
        <f ca="1">SUMIF(Top!$W$5:$W$168,$B212,Top!X$5:X$167)+SUMIF(Mid!$W$5:$W$168,$B212,Mid!X$5:X$167)</f>
        <v>0</v>
      </c>
      <c r="D212">
        <f ca="1">SUMIF(Top!$W$5:$W$168,$B212,Top!Y$5:Y$167)+SUMIF(Mid!$W$5:$W$168,$B212,Mid!Y$5:Y$167)</f>
        <v>0</v>
      </c>
      <c r="E212">
        <f ca="1">SUMIF(Top!$W$5:$W$168,$B212,Top!Z$5:Z$167)+SUMIF(Mid!$W$5:$W$168,$B212,Mid!Z$5:Z$167)</f>
        <v>0</v>
      </c>
      <c r="F212">
        <f ca="1">SUMIF(Top!$W$5:$W$168,$B212,Top!AA$5:AA$167)+SUMIF(Mid!$W$5:$W$168,$B212,Mid!AA$5:AA$167)</f>
        <v>0</v>
      </c>
      <c r="G212">
        <f ca="1">SUMIF(Top!$W$5:$W$168,$B212,Top!AB$5:AB$167)+SUMIF(Mid!$W$5:$W$168,$B212,Mid!AB$5:AB$167)</f>
        <v>0</v>
      </c>
      <c r="H212">
        <f ca="1">SUMIF(Top!$W$5:$W$168,$B212,Top!AC$5:AC$167)+SUMIF(Mid!$W$5:$W$168,$B212,Mid!AC$5:AC$167)</f>
        <v>0</v>
      </c>
      <c r="I212">
        <f ca="1">SUMIF(Top!$W$5:$W$168,$B212,Top!AD$5:AD$167)+SUMIF(Mid!$W$5:$W$168,$B212,Mid!AD$5:AD$167)</f>
        <v>0</v>
      </c>
      <c r="J212">
        <f ca="1">SUMIF(Top!$W$5:$W$168,$B212,Top!AE$5:AE$167)+SUMIF(Mid!$W$5:$W$168,$B212,Mid!AE$5:AE$167)</f>
        <v>0</v>
      </c>
      <c r="K212">
        <f ca="1">SUMIF(Top!$W$5:$W$168,$B212,Top!AF$5:AF$167)+SUMIF(Mid!$W$5:$W$168,$B212,Mid!AF$5:AF$167)</f>
        <v>0</v>
      </c>
      <c r="L212">
        <f ca="1">SUMIF(Top!$W$5:$W$168,$B212,Top!AG$5:AG$167)+SUMIF(Mid!$W$5:$W$168,$B212,Mid!AG$5:AG$167)</f>
        <v>0</v>
      </c>
      <c r="M212">
        <f ca="1">SUMIF(Top!$W$5:$W$168,$B212,Top!AH$5:AH$167)+SUMIF(Mid!$W$5:$W$168,$B212,Mid!AH$5:AH$167)</f>
        <v>0</v>
      </c>
      <c r="N212">
        <f ca="1">SUMIF(Top!$W$5:$W$168,$B212,Top!AI$5:AI$167)+SUMIF(Mid!$W$5:$W$168,$B212,Mid!AI$5:AI$167)</f>
        <v>0</v>
      </c>
      <c r="O212">
        <f ca="1">SUMIF(Top!$W$5:$W$168,$B212,Top!AJ$5:AJ$167)+SUMIF(Mid!$W$5:$W$168,$B212,Mid!AJ$5:AJ$167)</f>
        <v>0</v>
      </c>
      <c r="P212">
        <f ca="1">SUMIF(Top!$W$5:$W$168,$B212,Top!AK$5:AK$167)+SUMIF(Mid!$W$5:$W$168,$B212,Mid!AK$5:AK$167)</f>
        <v>0</v>
      </c>
      <c r="Q212">
        <f t="shared" ca="1" si="6"/>
        <v>0</v>
      </c>
      <c r="R212" s="17">
        <f t="shared" ca="1" si="7"/>
        <v>0</v>
      </c>
    </row>
    <row r="213" spans="2:18" x14ac:dyDescent="0.25">
      <c r="B213" t="s">
        <v>243</v>
      </c>
      <c r="C213">
        <f ca="1">SUMIF(Top!$W$5:$W$168,$B213,Top!X$5:X$167)+SUMIF(Mid!$W$5:$W$168,$B213,Mid!X$5:X$167)</f>
        <v>0</v>
      </c>
      <c r="D213">
        <f ca="1">SUMIF(Top!$W$5:$W$168,$B213,Top!Y$5:Y$167)+SUMIF(Mid!$W$5:$W$168,$B213,Mid!Y$5:Y$167)</f>
        <v>0</v>
      </c>
      <c r="E213">
        <f ca="1">SUMIF(Top!$W$5:$W$168,$B213,Top!Z$5:Z$167)+SUMIF(Mid!$W$5:$W$168,$B213,Mid!Z$5:Z$167)</f>
        <v>0</v>
      </c>
      <c r="F213">
        <f ca="1">SUMIF(Top!$W$5:$W$168,$B213,Top!AA$5:AA$167)+SUMIF(Mid!$W$5:$W$168,$B213,Mid!AA$5:AA$167)</f>
        <v>0</v>
      </c>
      <c r="G213">
        <f ca="1">SUMIF(Top!$W$5:$W$168,$B213,Top!AB$5:AB$167)+SUMIF(Mid!$W$5:$W$168,$B213,Mid!AB$5:AB$167)</f>
        <v>0</v>
      </c>
      <c r="H213">
        <f ca="1">SUMIF(Top!$W$5:$W$168,$B213,Top!AC$5:AC$167)+SUMIF(Mid!$W$5:$W$168,$B213,Mid!AC$5:AC$167)</f>
        <v>0</v>
      </c>
      <c r="I213">
        <f ca="1">SUMIF(Top!$W$5:$W$168,$B213,Top!AD$5:AD$167)+SUMIF(Mid!$W$5:$W$168,$B213,Mid!AD$5:AD$167)</f>
        <v>0</v>
      </c>
      <c r="J213">
        <f ca="1">SUMIF(Top!$W$5:$W$168,$B213,Top!AE$5:AE$167)+SUMIF(Mid!$W$5:$W$168,$B213,Mid!AE$5:AE$167)</f>
        <v>0</v>
      </c>
      <c r="K213">
        <f ca="1">SUMIF(Top!$W$5:$W$168,$B213,Top!AF$5:AF$167)+SUMIF(Mid!$W$5:$W$168,$B213,Mid!AF$5:AF$167)</f>
        <v>0</v>
      </c>
      <c r="L213">
        <f ca="1">SUMIF(Top!$W$5:$W$168,$B213,Top!AG$5:AG$167)+SUMIF(Mid!$W$5:$W$168,$B213,Mid!AG$5:AG$167)</f>
        <v>0</v>
      </c>
      <c r="M213">
        <f ca="1">SUMIF(Top!$W$5:$W$168,$B213,Top!AH$5:AH$167)+SUMIF(Mid!$W$5:$W$168,$B213,Mid!AH$5:AH$167)</f>
        <v>0</v>
      </c>
      <c r="N213">
        <f ca="1">SUMIF(Top!$W$5:$W$168,$B213,Top!AI$5:AI$167)+SUMIF(Mid!$W$5:$W$168,$B213,Mid!AI$5:AI$167)</f>
        <v>0</v>
      </c>
      <c r="O213">
        <f ca="1">SUMIF(Top!$W$5:$W$168,$B213,Top!AJ$5:AJ$167)+SUMIF(Mid!$W$5:$W$168,$B213,Mid!AJ$5:AJ$167)</f>
        <v>0</v>
      </c>
      <c r="P213">
        <f ca="1">SUMIF(Top!$W$5:$W$168,$B213,Top!AK$5:AK$167)+SUMIF(Mid!$W$5:$W$168,$B213,Mid!AK$5:AK$167)</f>
        <v>0</v>
      </c>
      <c r="Q213">
        <f t="shared" ca="1" si="6"/>
        <v>0</v>
      </c>
      <c r="R213" s="17">
        <f t="shared" ca="1" si="7"/>
        <v>0</v>
      </c>
    </row>
    <row r="214" spans="2:18" x14ac:dyDescent="0.25">
      <c r="B214" t="s">
        <v>244</v>
      </c>
      <c r="C214">
        <f ca="1">SUMIF(Top!$W$5:$W$168,$B214,Top!X$5:X$167)+SUMIF(Mid!$W$5:$W$168,$B214,Mid!X$5:X$167)</f>
        <v>0</v>
      </c>
      <c r="D214">
        <f ca="1">SUMIF(Top!$W$5:$W$168,$B214,Top!Y$5:Y$167)+SUMIF(Mid!$W$5:$W$168,$B214,Mid!Y$5:Y$167)</f>
        <v>0</v>
      </c>
      <c r="E214">
        <f ca="1">SUMIF(Top!$W$5:$W$168,$B214,Top!Z$5:Z$167)+SUMIF(Mid!$W$5:$W$168,$B214,Mid!Z$5:Z$167)</f>
        <v>0</v>
      </c>
      <c r="F214">
        <f ca="1">SUMIF(Top!$W$5:$W$168,$B214,Top!AA$5:AA$167)+SUMIF(Mid!$W$5:$W$168,$B214,Mid!AA$5:AA$167)</f>
        <v>0</v>
      </c>
      <c r="G214">
        <f ca="1">SUMIF(Top!$W$5:$W$168,$B214,Top!AB$5:AB$167)+SUMIF(Mid!$W$5:$W$168,$B214,Mid!AB$5:AB$167)</f>
        <v>0</v>
      </c>
      <c r="H214">
        <f ca="1">SUMIF(Top!$W$5:$W$168,$B214,Top!AC$5:AC$167)+SUMIF(Mid!$W$5:$W$168,$B214,Mid!AC$5:AC$167)</f>
        <v>0</v>
      </c>
      <c r="I214">
        <f ca="1">SUMIF(Top!$W$5:$W$168,$B214,Top!AD$5:AD$167)+SUMIF(Mid!$W$5:$W$168,$B214,Mid!AD$5:AD$167)</f>
        <v>0</v>
      </c>
      <c r="J214">
        <f ca="1">SUMIF(Top!$W$5:$W$168,$B214,Top!AE$5:AE$167)+SUMIF(Mid!$W$5:$W$168,$B214,Mid!AE$5:AE$167)</f>
        <v>0</v>
      </c>
      <c r="K214">
        <f ca="1">SUMIF(Top!$W$5:$W$168,$B214,Top!AF$5:AF$167)+SUMIF(Mid!$W$5:$W$168,$B214,Mid!AF$5:AF$167)</f>
        <v>0</v>
      </c>
      <c r="L214">
        <f ca="1">SUMIF(Top!$W$5:$W$168,$B214,Top!AG$5:AG$167)+SUMIF(Mid!$W$5:$W$168,$B214,Mid!AG$5:AG$167)</f>
        <v>0</v>
      </c>
      <c r="M214">
        <f ca="1">SUMIF(Top!$W$5:$W$168,$B214,Top!AH$5:AH$167)+SUMIF(Mid!$W$5:$W$168,$B214,Mid!AH$5:AH$167)</f>
        <v>0</v>
      </c>
      <c r="N214">
        <f ca="1">SUMIF(Top!$W$5:$W$168,$B214,Top!AI$5:AI$167)+SUMIF(Mid!$W$5:$W$168,$B214,Mid!AI$5:AI$167)</f>
        <v>0</v>
      </c>
      <c r="O214">
        <f ca="1">SUMIF(Top!$W$5:$W$168,$B214,Top!AJ$5:AJ$167)+SUMIF(Mid!$W$5:$W$168,$B214,Mid!AJ$5:AJ$167)</f>
        <v>0</v>
      </c>
      <c r="P214">
        <f ca="1">SUMIF(Top!$W$5:$W$168,$B214,Top!AK$5:AK$167)+SUMIF(Mid!$W$5:$W$168,$B214,Mid!AK$5:AK$167)</f>
        <v>0</v>
      </c>
      <c r="Q214">
        <f t="shared" ca="1" si="6"/>
        <v>0</v>
      </c>
      <c r="R214" s="17">
        <f t="shared" ca="1" si="7"/>
        <v>0</v>
      </c>
    </row>
    <row r="215" spans="2:18" x14ac:dyDescent="0.25">
      <c r="B215" t="s">
        <v>245</v>
      </c>
      <c r="C215">
        <f ca="1">SUMIF(Top!$W$5:$W$168,$B215,Top!X$5:X$167)+SUMIF(Mid!$W$5:$W$168,$B215,Mid!X$5:X$167)</f>
        <v>0</v>
      </c>
      <c r="D215">
        <f ca="1">SUMIF(Top!$W$5:$W$168,$B215,Top!Y$5:Y$167)+SUMIF(Mid!$W$5:$W$168,$B215,Mid!Y$5:Y$167)</f>
        <v>0</v>
      </c>
      <c r="E215">
        <f ca="1">SUMIF(Top!$W$5:$W$168,$B215,Top!Z$5:Z$167)+SUMIF(Mid!$W$5:$W$168,$B215,Mid!Z$5:Z$167)</f>
        <v>0</v>
      </c>
      <c r="F215">
        <f ca="1">SUMIF(Top!$W$5:$W$168,$B215,Top!AA$5:AA$167)+SUMIF(Mid!$W$5:$W$168,$B215,Mid!AA$5:AA$167)</f>
        <v>0</v>
      </c>
      <c r="G215">
        <f ca="1">SUMIF(Top!$W$5:$W$168,$B215,Top!AB$5:AB$167)+SUMIF(Mid!$W$5:$W$168,$B215,Mid!AB$5:AB$167)</f>
        <v>0</v>
      </c>
      <c r="H215">
        <f ca="1">SUMIF(Top!$W$5:$W$168,$B215,Top!AC$5:AC$167)+SUMIF(Mid!$W$5:$W$168,$B215,Mid!AC$5:AC$167)</f>
        <v>0</v>
      </c>
      <c r="I215">
        <f ca="1">SUMIF(Top!$W$5:$W$168,$B215,Top!AD$5:AD$167)+SUMIF(Mid!$W$5:$W$168,$B215,Mid!AD$5:AD$167)</f>
        <v>0</v>
      </c>
      <c r="J215">
        <f ca="1">SUMIF(Top!$W$5:$W$168,$B215,Top!AE$5:AE$167)+SUMIF(Mid!$W$5:$W$168,$B215,Mid!AE$5:AE$167)</f>
        <v>0</v>
      </c>
      <c r="K215">
        <f ca="1">SUMIF(Top!$W$5:$W$168,$B215,Top!AF$5:AF$167)+SUMIF(Mid!$W$5:$W$168,$B215,Mid!AF$5:AF$167)</f>
        <v>0</v>
      </c>
      <c r="L215">
        <f ca="1">SUMIF(Top!$W$5:$W$168,$B215,Top!AG$5:AG$167)+SUMIF(Mid!$W$5:$W$168,$B215,Mid!AG$5:AG$167)</f>
        <v>0</v>
      </c>
      <c r="M215">
        <f ca="1">SUMIF(Top!$W$5:$W$168,$B215,Top!AH$5:AH$167)+SUMIF(Mid!$W$5:$W$168,$B215,Mid!AH$5:AH$167)</f>
        <v>0</v>
      </c>
      <c r="N215">
        <f ca="1">SUMIF(Top!$W$5:$W$168,$B215,Top!AI$5:AI$167)+SUMIF(Mid!$W$5:$W$168,$B215,Mid!AI$5:AI$167)</f>
        <v>0</v>
      </c>
      <c r="O215">
        <f ca="1">SUMIF(Top!$W$5:$W$168,$B215,Top!AJ$5:AJ$167)+SUMIF(Mid!$W$5:$W$168,$B215,Mid!AJ$5:AJ$167)</f>
        <v>0</v>
      </c>
      <c r="P215">
        <f ca="1">SUMIF(Top!$W$5:$W$168,$B215,Top!AK$5:AK$167)+SUMIF(Mid!$W$5:$W$168,$B215,Mid!AK$5:AK$167)</f>
        <v>0</v>
      </c>
      <c r="Q215">
        <f t="shared" ca="1" si="6"/>
        <v>0</v>
      </c>
      <c r="R215" s="17">
        <f t="shared" ca="1" si="7"/>
        <v>0</v>
      </c>
    </row>
    <row r="216" spans="2:18" x14ac:dyDescent="0.25">
      <c r="B216" t="s">
        <v>247</v>
      </c>
      <c r="C216">
        <f ca="1">SUMIF(Top!$W$5:$W$168,$B216,Top!X$5:X$167)+SUMIF(Mid!$W$5:$W$168,$B216,Mid!X$5:X$167)</f>
        <v>0</v>
      </c>
      <c r="D216">
        <f ca="1">SUMIF(Top!$W$5:$W$168,$B216,Top!Y$5:Y$167)+SUMIF(Mid!$W$5:$W$168,$B216,Mid!Y$5:Y$167)</f>
        <v>0</v>
      </c>
      <c r="E216">
        <f ca="1">SUMIF(Top!$W$5:$W$168,$B216,Top!Z$5:Z$167)+SUMIF(Mid!$W$5:$W$168,$B216,Mid!Z$5:Z$167)</f>
        <v>0</v>
      </c>
      <c r="F216">
        <f ca="1">SUMIF(Top!$W$5:$W$168,$B216,Top!AA$5:AA$167)+SUMIF(Mid!$W$5:$W$168,$B216,Mid!AA$5:AA$167)</f>
        <v>0</v>
      </c>
      <c r="G216">
        <f ca="1">SUMIF(Top!$W$5:$W$168,$B216,Top!AB$5:AB$167)+SUMIF(Mid!$W$5:$W$168,$B216,Mid!AB$5:AB$167)</f>
        <v>0</v>
      </c>
      <c r="H216">
        <f ca="1">SUMIF(Top!$W$5:$W$168,$B216,Top!AC$5:AC$167)+SUMIF(Mid!$W$5:$W$168,$B216,Mid!AC$5:AC$167)</f>
        <v>0</v>
      </c>
      <c r="I216">
        <f ca="1">SUMIF(Top!$W$5:$W$168,$B216,Top!AD$5:AD$167)+SUMIF(Mid!$W$5:$W$168,$B216,Mid!AD$5:AD$167)</f>
        <v>0</v>
      </c>
      <c r="J216">
        <f ca="1">SUMIF(Top!$W$5:$W$168,$B216,Top!AE$5:AE$167)+SUMIF(Mid!$W$5:$W$168,$B216,Mid!AE$5:AE$167)</f>
        <v>0</v>
      </c>
      <c r="K216">
        <f ca="1">SUMIF(Top!$W$5:$W$168,$B216,Top!AF$5:AF$167)+SUMIF(Mid!$W$5:$W$168,$B216,Mid!AF$5:AF$167)</f>
        <v>0</v>
      </c>
      <c r="L216">
        <f ca="1">SUMIF(Top!$W$5:$W$168,$B216,Top!AG$5:AG$167)+SUMIF(Mid!$W$5:$W$168,$B216,Mid!AG$5:AG$167)</f>
        <v>0</v>
      </c>
      <c r="M216">
        <f ca="1">SUMIF(Top!$W$5:$W$168,$B216,Top!AH$5:AH$167)+SUMIF(Mid!$W$5:$W$168,$B216,Mid!AH$5:AH$167)</f>
        <v>0</v>
      </c>
      <c r="N216">
        <f ca="1">SUMIF(Top!$W$5:$W$168,$B216,Top!AI$5:AI$167)+SUMIF(Mid!$W$5:$W$168,$B216,Mid!AI$5:AI$167)</f>
        <v>0</v>
      </c>
      <c r="O216">
        <f ca="1">SUMIF(Top!$W$5:$W$168,$B216,Top!AJ$5:AJ$167)+SUMIF(Mid!$W$5:$W$168,$B216,Mid!AJ$5:AJ$167)</f>
        <v>0</v>
      </c>
      <c r="P216">
        <f ca="1">SUMIF(Top!$W$5:$W$168,$B216,Top!AK$5:AK$167)+SUMIF(Mid!$W$5:$W$168,$B216,Mid!AK$5:AK$167)</f>
        <v>0</v>
      </c>
      <c r="Q216">
        <f t="shared" ca="1" si="6"/>
        <v>0</v>
      </c>
      <c r="R216" s="17">
        <f t="shared" ca="1" si="7"/>
        <v>0</v>
      </c>
    </row>
    <row r="217" spans="2:18" x14ac:dyDescent="0.25">
      <c r="B217" t="s">
        <v>248</v>
      </c>
      <c r="C217">
        <f ca="1">SUMIF(Top!$W$5:$W$168,$B217,Top!X$5:X$167)+SUMIF(Mid!$W$5:$W$168,$B217,Mid!X$5:X$167)</f>
        <v>0</v>
      </c>
      <c r="D217">
        <f ca="1">SUMIF(Top!$W$5:$W$168,$B217,Top!Y$5:Y$167)+SUMIF(Mid!$W$5:$W$168,$B217,Mid!Y$5:Y$167)</f>
        <v>0</v>
      </c>
      <c r="E217">
        <f ca="1">SUMIF(Top!$W$5:$W$168,$B217,Top!Z$5:Z$167)+SUMIF(Mid!$W$5:$W$168,$B217,Mid!Z$5:Z$167)</f>
        <v>0</v>
      </c>
      <c r="F217">
        <f ca="1">SUMIF(Top!$W$5:$W$168,$B217,Top!AA$5:AA$167)+SUMIF(Mid!$W$5:$W$168,$B217,Mid!AA$5:AA$167)</f>
        <v>0</v>
      </c>
      <c r="G217">
        <f ca="1">SUMIF(Top!$W$5:$W$168,$B217,Top!AB$5:AB$167)+SUMIF(Mid!$W$5:$W$168,$B217,Mid!AB$5:AB$167)</f>
        <v>0</v>
      </c>
      <c r="H217">
        <f ca="1">SUMIF(Top!$W$5:$W$168,$B217,Top!AC$5:AC$167)+SUMIF(Mid!$W$5:$W$168,$B217,Mid!AC$5:AC$167)</f>
        <v>0</v>
      </c>
      <c r="I217">
        <f ca="1">SUMIF(Top!$W$5:$W$168,$B217,Top!AD$5:AD$167)+SUMIF(Mid!$W$5:$W$168,$B217,Mid!AD$5:AD$167)</f>
        <v>0</v>
      </c>
      <c r="J217">
        <f ca="1">SUMIF(Top!$W$5:$W$168,$B217,Top!AE$5:AE$167)+SUMIF(Mid!$W$5:$W$168,$B217,Mid!AE$5:AE$167)</f>
        <v>0</v>
      </c>
      <c r="K217">
        <f ca="1">SUMIF(Top!$W$5:$W$168,$B217,Top!AF$5:AF$167)+SUMIF(Mid!$W$5:$W$168,$B217,Mid!AF$5:AF$167)</f>
        <v>0</v>
      </c>
      <c r="L217">
        <f ca="1">SUMIF(Top!$W$5:$W$168,$B217,Top!AG$5:AG$167)+SUMIF(Mid!$W$5:$W$168,$B217,Mid!AG$5:AG$167)</f>
        <v>0</v>
      </c>
      <c r="M217">
        <f ca="1">SUMIF(Top!$W$5:$W$168,$B217,Top!AH$5:AH$167)+SUMIF(Mid!$W$5:$W$168,$B217,Mid!AH$5:AH$167)</f>
        <v>0</v>
      </c>
      <c r="N217">
        <f ca="1">SUMIF(Top!$W$5:$W$168,$B217,Top!AI$5:AI$167)+SUMIF(Mid!$W$5:$W$168,$B217,Mid!AI$5:AI$167)</f>
        <v>0</v>
      </c>
      <c r="O217">
        <f ca="1">SUMIF(Top!$W$5:$W$168,$B217,Top!AJ$5:AJ$167)+SUMIF(Mid!$W$5:$W$168,$B217,Mid!AJ$5:AJ$167)</f>
        <v>0</v>
      </c>
      <c r="P217">
        <f ca="1">SUMIF(Top!$W$5:$W$168,$B217,Top!AK$5:AK$167)+SUMIF(Mid!$W$5:$W$168,$B217,Mid!AK$5:AK$167)</f>
        <v>0</v>
      </c>
      <c r="Q217">
        <f t="shared" ca="1" si="6"/>
        <v>0</v>
      </c>
      <c r="R217" s="17">
        <f t="shared" ca="1" si="7"/>
        <v>0</v>
      </c>
    </row>
    <row r="218" spans="2:18" x14ac:dyDescent="0.25">
      <c r="B218" t="s">
        <v>249</v>
      </c>
      <c r="C218">
        <f ca="1">SUMIF(Top!$W$5:$W$168,$B218,Top!X$5:X$167)+SUMIF(Mid!$W$5:$W$168,$B218,Mid!X$5:X$167)</f>
        <v>0</v>
      </c>
      <c r="D218">
        <f ca="1">SUMIF(Top!$W$5:$W$168,$B218,Top!Y$5:Y$167)+SUMIF(Mid!$W$5:$W$168,$B218,Mid!Y$5:Y$167)</f>
        <v>0</v>
      </c>
      <c r="E218">
        <f ca="1">SUMIF(Top!$W$5:$W$168,$B218,Top!Z$5:Z$167)+SUMIF(Mid!$W$5:$W$168,$B218,Mid!Z$5:Z$167)</f>
        <v>0</v>
      </c>
      <c r="F218">
        <f ca="1">SUMIF(Top!$W$5:$W$168,$B218,Top!AA$5:AA$167)+SUMIF(Mid!$W$5:$W$168,$B218,Mid!AA$5:AA$167)</f>
        <v>0</v>
      </c>
      <c r="G218">
        <f ca="1">SUMIF(Top!$W$5:$W$168,$B218,Top!AB$5:AB$167)+SUMIF(Mid!$W$5:$W$168,$B218,Mid!AB$5:AB$167)</f>
        <v>0</v>
      </c>
      <c r="H218">
        <f ca="1">SUMIF(Top!$W$5:$W$168,$B218,Top!AC$5:AC$167)+SUMIF(Mid!$W$5:$W$168,$B218,Mid!AC$5:AC$167)</f>
        <v>0</v>
      </c>
      <c r="I218">
        <f ca="1">SUMIF(Top!$W$5:$W$168,$B218,Top!AD$5:AD$167)+SUMIF(Mid!$W$5:$W$168,$B218,Mid!AD$5:AD$167)</f>
        <v>0</v>
      </c>
      <c r="J218">
        <f ca="1">SUMIF(Top!$W$5:$W$168,$B218,Top!AE$5:AE$167)+SUMIF(Mid!$W$5:$W$168,$B218,Mid!AE$5:AE$167)</f>
        <v>0</v>
      </c>
      <c r="K218">
        <f ca="1">SUMIF(Top!$W$5:$W$168,$B218,Top!AF$5:AF$167)+SUMIF(Mid!$W$5:$W$168,$B218,Mid!AF$5:AF$167)</f>
        <v>0</v>
      </c>
      <c r="L218">
        <f ca="1">SUMIF(Top!$W$5:$W$168,$B218,Top!AG$5:AG$167)+SUMIF(Mid!$W$5:$W$168,$B218,Mid!AG$5:AG$167)</f>
        <v>0</v>
      </c>
      <c r="M218">
        <f ca="1">SUMIF(Top!$W$5:$W$168,$B218,Top!AH$5:AH$167)+SUMIF(Mid!$W$5:$W$168,$B218,Mid!AH$5:AH$167)</f>
        <v>0</v>
      </c>
      <c r="N218">
        <f ca="1">SUMIF(Top!$W$5:$W$168,$B218,Top!AI$5:AI$167)+SUMIF(Mid!$W$5:$W$168,$B218,Mid!AI$5:AI$167)</f>
        <v>0</v>
      </c>
      <c r="O218">
        <f ca="1">SUMIF(Top!$W$5:$W$168,$B218,Top!AJ$5:AJ$167)+SUMIF(Mid!$W$5:$W$168,$B218,Mid!AJ$5:AJ$167)</f>
        <v>0</v>
      </c>
      <c r="P218">
        <f ca="1">SUMIF(Top!$W$5:$W$168,$B218,Top!AK$5:AK$167)+SUMIF(Mid!$W$5:$W$168,$B218,Mid!AK$5:AK$167)</f>
        <v>0</v>
      </c>
      <c r="Q218">
        <f t="shared" ca="1" si="6"/>
        <v>0</v>
      </c>
      <c r="R218" s="17">
        <f t="shared" ca="1" si="7"/>
        <v>0</v>
      </c>
    </row>
    <row r="219" spans="2:18" x14ac:dyDescent="0.25">
      <c r="B219" t="s">
        <v>250</v>
      </c>
      <c r="C219">
        <f ca="1">SUMIF(Top!$W$5:$W$168,$B219,Top!X$5:X$167)+SUMIF(Mid!$W$5:$W$168,$B219,Mid!X$5:X$167)</f>
        <v>0</v>
      </c>
      <c r="D219">
        <f ca="1">SUMIF(Top!$W$5:$W$168,$B219,Top!Y$5:Y$167)+SUMIF(Mid!$W$5:$W$168,$B219,Mid!Y$5:Y$167)</f>
        <v>4</v>
      </c>
      <c r="E219">
        <f ca="1">SUMIF(Top!$W$5:$W$168,$B219,Top!Z$5:Z$167)+SUMIF(Mid!$W$5:$W$168,$B219,Mid!Z$5:Z$167)</f>
        <v>0</v>
      </c>
      <c r="F219">
        <f ca="1">SUMIF(Top!$W$5:$W$168,$B219,Top!AA$5:AA$167)+SUMIF(Mid!$W$5:$W$168,$B219,Mid!AA$5:AA$167)</f>
        <v>0</v>
      </c>
      <c r="G219">
        <f ca="1">SUMIF(Top!$W$5:$W$168,$B219,Top!AB$5:AB$167)+SUMIF(Mid!$W$5:$W$168,$B219,Mid!AB$5:AB$167)</f>
        <v>0</v>
      </c>
      <c r="H219">
        <f ca="1">SUMIF(Top!$W$5:$W$168,$B219,Top!AC$5:AC$167)+SUMIF(Mid!$W$5:$W$168,$B219,Mid!AC$5:AC$167)</f>
        <v>0</v>
      </c>
      <c r="I219">
        <f ca="1">SUMIF(Top!$W$5:$W$168,$B219,Top!AD$5:AD$167)+SUMIF(Mid!$W$5:$W$168,$B219,Mid!AD$5:AD$167)</f>
        <v>0</v>
      </c>
      <c r="J219">
        <f ca="1">SUMIF(Top!$W$5:$W$168,$B219,Top!AE$5:AE$167)+SUMIF(Mid!$W$5:$W$168,$B219,Mid!AE$5:AE$167)</f>
        <v>0</v>
      </c>
      <c r="K219">
        <f ca="1">SUMIF(Top!$W$5:$W$168,$B219,Top!AF$5:AF$167)+SUMIF(Mid!$W$5:$W$168,$B219,Mid!AF$5:AF$167)</f>
        <v>0</v>
      </c>
      <c r="L219">
        <f ca="1">SUMIF(Top!$W$5:$W$168,$B219,Top!AG$5:AG$167)+SUMIF(Mid!$W$5:$W$168,$B219,Mid!AG$5:AG$167)</f>
        <v>0</v>
      </c>
      <c r="M219">
        <f ca="1">SUMIF(Top!$W$5:$W$168,$B219,Top!AH$5:AH$167)+SUMIF(Mid!$W$5:$W$168,$B219,Mid!AH$5:AH$167)</f>
        <v>0</v>
      </c>
      <c r="N219">
        <f ca="1">SUMIF(Top!$W$5:$W$168,$B219,Top!AI$5:AI$167)+SUMIF(Mid!$W$5:$W$168,$B219,Mid!AI$5:AI$167)</f>
        <v>0</v>
      </c>
      <c r="O219">
        <f ca="1">SUMIF(Top!$W$5:$W$168,$B219,Top!AJ$5:AJ$167)+SUMIF(Mid!$W$5:$W$168,$B219,Mid!AJ$5:AJ$167)</f>
        <v>0</v>
      </c>
      <c r="P219">
        <f ca="1">SUMIF(Top!$W$5:$W$168,$B219,Top!AK$5:AK$167)+SUMIF(Mid!$W$5:$W$168,$B219,Mid!AK$5:AK$167)</f>
        <v>0</v>
      </c>
      <c r="Q219">
        <f t="shared" ca="1" si="6"/>
        <v>4</v>
      </c>
      <c r="R219" s="17">
        <f t="shared" ca="1" si="7"/>
        <v>4</v>
      </c>
    </row>
    <row r="220" spans="2:18" x14ac:dyDescent="0.25">
      <c r="B220" t="s">
        <v>251</v>
      </c>
      <c r="C220">
        <f ca="1">SUMIF(Top!$W$5:$W$168,$B220,Top!X$5:X$167)+SUMIF(Mid!$W$5:$W$168,$B220,Mid!X$5:X$167)</f>
        <v>0</v>
      </c>
      <c r="D220">
        <f ca="1">SUMIF(Top!$W$5:$W$168,$B220,Top!Y$5:Y$167)+SUMIF(Mid!$W$5:$W$168,$B220,Mid!Y$5:Y$167)</f>
        <v>0</v>
      </c>
      <c r="E220">
        <f ca="1">SUMIF(Top!$W$5:$W$168,$B220,Top!Z$5:Z$167)+SUMIF(Mid!$W$5:$W$168,$B220,Mid!Z$5:Z$167)</f>
        <v>0</v>
      </c>
      <c r="F220">
        <f ca="1">SUMIF(Top!$W$5:$W$168,$B220,Top!AA$5:AA$167)+SUMIF(Mid!$W$5:$W$168,$B220,Mid!AA$5:AA$167)</f>
        <v>0</v>
      </c>
      <c r="G220">
        <f ca="1">SUMIF(Top!$W$5:$W$168,$B220,Top!AB$5:AB$167)+SUMIF(Mid!$W$5:$W$168,$B220,Mid!AB$5:AB$167)</f>
        <v>0</v>
      </c>
      <c r="H220">
        <f ca="1">SUMIF(Top!$W$5:$W$168,$B220,Top!AC$5:AC$167)+SUMIF(Mid!$W$5:$W$168,$B220,Mid!AC$5:AC$167)</f>
        <v>0</v>
      </c>
      <c r="I220">
        <f ca="1">SUMIF(Top!$W$5:$W$168,$B220,Top!AD$5:AD$167)+SUMIF(Mid!$W$5:$W$168,$B220,Mid!AD$5:AD$167)</f>
        <v>0</v>
      </c>
      <c r="J220">
        <f ca="1">SUMIF(Top!$W$5:$W$168,$B220,Top!AE$5:AE$167)+SUMIF(Mid!$W$5:$W$168,$B220,Mid!AE$5:AE$167)</f>
        <v>0</v>
      </c>
      <c r="K220">
        <f ca="1">SUMIF(Top!$W$5:$W$168,$B220,Top!AF$5:AF$167)+SUMIF(Mid!$W$5:$W$168,$B220,Mid!AF$5:AF$167)</f>
        <v>0</v>
      </c>
      <c r="L220">
        <f ca="1">SUMIF(Top!$W$5:$W$168,$B220,Top!AG$5:AG$167)+SUMIF(Mid!$W$5:$W$168,$B220,Mid!AG$5:AG$167)</f>
        <v>0</v>
      </c>
      <c r="M220">
        <f ca="1">SUMIF(Top!$W$5:$W$168,$B220,Top!AH$5:AH$167)+SUMIF(Mid!$W$5:$W$168,$B220,Mid!AH$5:AH$167)</f>
        <v>0</v>
      </c>
      <c r="N220">
        <f ca="1">SUMIF(Top!$W$5:$W$168,$B220,Top!AI$5:AI$167)+SUMIF(Mid!$W$5:$W$168,$B220,Mid!AI$5:AI$167)</f>
        <v>0</v>
      </c>
      <c r="O220">
        <f ca="1">SUMIF(Top!$W$5:$W$168,$B220,Top!AJ$5:AJ$167)+SUMIF(Mid!$W$5:$W$168,$B220,Mid!AJ$5:AJ$167)</f>
        <v>0</v>
      </c>
      <c r="P220">
        <f ca="1">SUMIF(Top!$W$5:$W$168,$B220,Top!AK$5:AK$167)+SUMIF(Mid!$W$5:$W$168,$B220,Mid!AK$5:AK$167)</f>
        <v>0</v>
      </c>
      <c r="Q220">
        <f t="shared" ca="1" si="6"/>
        <v>0</v>
      </c>
      <c r="R220" s="17">
        <f t="shared" ca="1" si="7"/>
        <v>0</v>
      </c>
    </row>
    <row r="221" spans="2:18" x14ac:dyDescent="0.25">
      <c r="B221" t="s">
        <v>252</v>
      </c>
      <c r="C221">
        <f ca="1">SUMIF(Top!$W$5:$W$168,$B221,Top!X$5:X$167)+SUMIF(Mid!$W$5:$W$168,$B221,Mid!X$5:X$167)</f>
        <v>0</v>
      </c>
      <c r="D221">
        <f ca="1">SUMIF(Top!$W$5:$W$168,$B221,Top!Y$5:Y$167)+SUMIF(Mid!$W$5:$W$168,$B221,Mid!Y$5:Y$167)</f>
        <v>0</v>
      </c>
      <c r="E221">
        <f ca="1">SUMIF(Top!$W$5:$W$168,$B221,Top!Z$5:Z$167)+SUMIF(Mid!$W$5:$W$168,$B221,Mid!Z$5:Z$167)</f>
        <v>0</v>
      </c>
      <c r="F221">
        <f ca="1">SUMIF(Top!$W$5:$W$168,$B221,Top!AA$5:AA$167)+SUMIF(Mid!$W$5:$W$168,$B221,Mid!AA$5:AA$167)</f>
        <v>0</v>
      </c>
      <c r="G221">
        <f ca="1">SUMIF(Top!$W$5:$W$168,$B221,Top!AB$5:AB$167)+SUMIF(Mid!$W$5:$W$168,$B221,Mid!AB$5:AB$167)</f>
        <v>0</v>
      </c>
      <c r="H221">
        <f ca="1">SUMIF(Top!$W$5:$W$168,$B221,Top!AC$5:AC$167)+SUMIF(Mid!$W$5:$W$168,$B221,Mid!AC$5:AC$167)</f>
        <v>0</v>
      </c>
      <c r="I221">
        <f ca="1">SUMIF(Top!$W$5:$W$168,$B221,Top!AD$5:AD$167)+SUMIF(Mid!$W$5:$W$168,$B221,Mid!AD$5:AD$167)</f>
        <v>0</v>
      </c>
      <c r="J221">
        <f ca="1">SUMIF(Top!$W$5:$W$168,$B221,Top!AE$5:AE$167)+SUMIF(Mid!$W$5:$W$168,$B221,Mid!AE$5:AE$167)</f>
        <v>0</v>
      </c>
      <c r="K221">
        <f ca="1">SUMIF(Top!$W$5:$W$168,$B221,Top!AF$5:AF$167)+SUMIF(Mid!$W$5:$W$168,$B221,Mid!AF$5:AF$167)</f>
        <v>0</v>
      </c>
      <c r="L221">
        <f ca="1">SUMIF(Top!$W$5:$W$168,$B221,Top!AG$5:AG$167)+SUMIF(Mid!$W$5:$W$168,$B221,Mid!AG$5:AG$167)</f>
        <v>0</v>
      </c>
      <c r="M221">
        <f ca="1">SUMIF(Top!$W$5:$W$168,$B221,Top!AH$5:AH$167)+SUMIF(Mid!$W$5:$W$168,$B221,Mid!AH$5:AH$167)</f>
        <v>0</v>
      </c>
      <c r="N221">
        <f ca="1">SUMIF(Top!$W$5:$W$168,$B221,Top!AI$5:AI$167)+SUMIF(Mid!$W$5:$W$168,$B221,Mid!AI$5:AI$167)</f>
        <v>0</v>
      </c>
      <c r="O221">
        <f ca="1">SUMIF(Top!$W$5:$W$168,$B221,Top!AJ$5:AJ$167)+SUMIF(Mid!$W$5:$W$168,$B221,Mid!AJ$5:AJ$167)</f>
        <v>0</v>
      </c>
      <c r="P221">
        <f ca="1">SUMIF(Top!$W$5:$W$168,$B221,Top!AK$5:AK$167)+SUMIF(Mid!$W$5:$W$168,$B221,Mid!AK$5:AK$167)</f>
        <v>0</v>
      </c>
      <c r="Q221">
        <f t="shared" ca="1" si="6"/>
        <v>0</v>
      </c>
      <c r="R221" s="17">
        <f t="shared" ca="1" si="7"/>
        <v>0</v>
      </c>
    </row>
    <row r="222" spans="2:18" x14ac:dyDescent="0.25">
      <c r="B222" t="s">
        <v>253</v>
      </c>
      <c r="C222">
        <f ca="1">SUMIF(Top!$W$5:$W$168,$B222,Top!X$5:X$167)+SUMIF(Mid!$W$5:$W$168,$B222,Mid!X$5:X$167)</f>
        <v>0</v>
      </c>
      <c r="D222">
        <f ca="1">SUMIF(Top!$W$5:$W$168,$B222,Top!Y$5:Y$167)+SUMIF(Mid!$W$5:$W$168,$B222,Mid!Y$5:Y$167)</f>
        <v>0</v>
      </c>
      <c r="E222">
        <f ca="1">SUMIF(Top!$W$5:$W$168,$B222,Top!Z$5:Z$167)+SUMIF(Mid!$W$5:$W$168,$B222,Mid!Z$5:Z$167)</f>
        <v>0</v>
      </c>
      <c r="F222">
        <f ca="1">SUMIF(Top!$W$5:$W$168,$B222,Top!AA$5:AA$167)+SUMIF(Mid!$W$5:$W$168,$B222,Mid!AA$5:AA$167)</f>
        <v>0</v>
      </c>
      <c r="G222">
        <f ca="1">SUMIF(Top!$W$5:$W$168,$B222,Top!AB$5:AB$167)+SUMIF(Mid!$W$5:$W$168,$B222,Mid!AB$5:AB$167)</f>
        <v>0</v>
      </c>
      <c r="H222">
        <f ca="1">SUMIF(Top!$W$5:$W$168,$B222,Top!AC$5:AC$167)+SUMIF(Mid!$W$5:$W$168,$B222,Mid!AC$5:AC$167)</f>
        <v>0</v>
      </c>
      <c r="I222">
        <f ca="1">SUMIF(Top!$W$5:$W$168,$B222,Top!AD$5:AD$167)+SUMIF(Mid!$W$5:$W$168,$B222,Mid!AD$5:AD$167)</f>
        <v>0</v>
      </c>
      <c r="J222">
        <f ca="1">SUMIF(Top!$W$5:$W$168,$B222,Top!AE$5:AE$167)+SUMIF(Mid!$W$5:$W$168,$B222,Mid!AE$5:AE$167)</f>
        <v>0</v>
      </c>
      <c r="K222">
        <f ca="1">SUMIF(Top!$W$5:$W$168,$B222,Top!AF$5:AF$167)+SUMIF(Mid!$W$5:$W$168,$B222,Mid!AF$5:AF$167)</f>
        <v>0</v>
      </c>
      <c r="L222">
        <f ca="1">SUMIF(Top!$W$5:$W$168,$B222,Top!AG$5:AG$167)+SUMIF(Mid!$W$5:$W$168,$B222,Mid!AG$5:AG$167)</f>
        <v>0</v>
      </c>
      <c r="M222">
        <f ca="1">SUMIF(Top!$W$5:$W$168,$B222,Top!AH$5:AH$167)+SUMIF(Mid!$W$5:$W$168,$B222,Mid!AH$5:AH$167)</f>
        <v>0</v>
      </c>
      <c r="N222">
        <f ca="1">SUMIF(Top!$W$5:$W$168,$B222,Top!AI$5:AI$167)+SUMIF(Mid!$W$5:$W$168,$B222,Mid!AI$5:AI$167)</f>
        <v>0</v>
      </c>
      <c r="O222">
        <f ca="1">SUMIF(Top!$W$5:$W$168,$B222,Top!AJ$5:AJ$167)+SUMIF(Mid!$W$5:$W$168,$B222,Mid!AJ$5:AJ$167)</f>
        <v>0</v>
      </c>
      <c r="P222">
        <f ca="1">SUMIF(Top!$W$5:$W$168,$B222,Top!AK$5:AK$167)+SUMIF(Mid!$W$5:$W$168,$B222,Mid!AK$5:AK$167)</f>
        <v>0</v>
      </c>
      <c r="Q222">
        <f t="shared" ca="1" si="6"/>
        <v>0</v>
      </c>
      <c r="R222" s="17">
        <f t="shared" ca="1" si="7"/>
        <v>0</v>
      </c>
    </row>
  </sheetData>
  <sortState xmlns:xlrd2="http://schemas.microsoft.com/office/spreadsheetml/2017/richdata2" ref="B11:R222">
    <sortCondition descending="1" ref="R11:R222"/>
  </sortState>
  <mergeCells count="1">
    <mergeCell ref="T7:W7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80F9-EB48-4ADC-B63E-CA70A4DF7AEA}">
  <dimension ref="A1:BU165"/>
  <sheetViews>
    <sheetView tabSelected="1" topLeftCell="A40" workbookViewId="0">
      <selection activeCell="F69" sqref="F69"/>
    </sheetView>
  </sheetViews>
  <sheetFormatPr defaultRowHeight="15" x14ac:dyDescent="0.25"/>
  <cols>
    <col min="1" max="1" width="38" customWidth="1"/>
    <col min="24" max="24" width="9.140625" customWidth="1"/>
    <col min="35" max="35" width="9.140625" style="18"/>
    <col min="37" max="37" width="27.28515625" customWidth="1"/>
  </cols>
  <sheetData>
    <row r="1" spans="1:59" ht="15.75" x14ac:dyDescent="0.25">
      <c r="A1" s="15" t="s">
        <v>362</v>
      </c>
      <c r="D1" s="24" t="s">
        <v>363</v>
      </c>
      <c r="E1" s="24"/>
      <c r="G1" s="24" t="s">
        <v>364</v>
      </c>
      <c r="H1" s="24"/>
      <c r="I1" s="24" t="s">
        <v>365</v>
      </c>
      <c r="J1" s="24"/>
      <c r="L1" s="24" t="s">
        <v>366</v>
      </c>
      <c r="M1" s="24"/>
      <c r="O1" s="24" t="s">
        <v>367</v>
      </c>
      <c r="P1" s="24"/>
      <c r="R1" s="24" t="s">
        <v>368</v>
      </c>
      <c r="S1" s="24"/>
      <c r="U1" s="24" t="s">
        <v>369</v>
      </c>
      <c r="V1" s="24"/>
      <c r="Y1" s="16"/>
    </row>
    <row r="2" spans="1:59" x14ac:dyDescent="0.25">
      <c r="A2" t="str" cm="1">
        <f t="array" aca="1" ref="A2:W55" ca="1">_xlfn._xlws.SORT(AK2:BG55, 23,-1, FALSE)</f>
        <v>Team Name</v>
      </c>
      <c r="B2" t="str">
        <f ca="1"/>
        <v>Abrv</v>
      </c>
      <c r="C2" t="str">
        <f ca="1"/>
        <v>No.</v>
      </c>
      <c r="D2" t="str">
        <f ca="1"/>
        <v>R1A</v>
      </c>
      <c r="E2" t="str">
        <f ca="1"/>
        <v>R1B</v>
      </c>
      <c r="F2" t="str">
        <f ca="1"/>
        <v>EC1</v>
      </c>
      <c r="G2" t="str">
        <f ca="1"/>
        <v>R2A</v>
      </c>
      <c r="H2" t="str">
        <f ca="1"/>
        <v>R2B</v>
      </c>
      <c r="I2" t="str">
        <f ca="1"/>
        <v>R3A</v>
      </c>
      <c r="J2" t="str">
        <f ca="1"/>
        <v>R3B</v>
      </c>
      <c r="K2" t="str">
        <f ca="1"/>
        <v>EC2</v>
      </c>
      <c r="L2" t="str">
        <f ca="1"/>
        <v>R4A</v>
      </c>
      <c r="M2" t="str">
        <f ca="1"/>
        <v>R4B</v>
      </c>
      <c r="N2" t="str">
        <f ca="1"/>
        <v>EC3</v>
      </c>
      <c r="O2" t="str">
        <f ca="1"/>
        <v>R5A</v>
      </c>
      <c r="P2" t="str">
        <f ca="1"/>
        <v>R5B</v>
      </c>
      <c r="Q2" t="str">
        <f ca="1"/>
        <v>EC4</v>
      </c>
      <c r="R2" t="str">
        <f ca="1"/>
        <v>R6A</v>
      </c>
      <c r="S2" t="str">
        <f ca="1"/>
        <v>R6B</v>
      </c>
      <c r="T2" t="str">
        <f ca="1"/>
        <v>EC5</v>
      </c>
      <c r="U2" t="str">
        <f ca="1"/>
        <v>R7A</v>
      </c>
      <c r="V2" t="str">
        <f ca="1"/>
        <v>R7B</v>
      </c>
      <c r="W2" t="str">
        <f ca="1"/>
        <v>Total</v>
      </c>
      <c r="AK2" t="s">
        <v>254</v>
      </c>
      <c r="AL2" t="s">
        <v>301</v>
      </c>
      <c r="AM2" t="s">
        <v>55</v>
      </c>
      <c r="AN2" t="s">
        <v>3</v>
      </c>
      <c r="AO2" t="s">
        <v>4</v>
      </c>
      <c r="AP2" t="s">
        <v>352</v>
      </c>
      <c r="AQ2" t="s">
        <v>5</v>
      </c>
      <c r="AR2" t="s">
        <v>6</v>
      </c>
      <c r="AS2" s="8" t="s">
        <v>7</v>
      </c>
      <c r="AT2" s="8" t="s">
        <v>8</v>
      </c>
      <c r="AU2" s="8" t="s">
        <v>353</v>
      </c>
      <c r="AV2" s="8" t="s">
        <v>9</v>
      </c>
      <c r="AW2" s="8" t="s">
        <v>10</v>
      </c>
      <c r="AX2" s="8" t="s">
        <v>354</v>
      </c>
      <c r="AY2" s="8" t="s">
        <v>11</v>
      </c>
      <c r="AZ2" s="8" t="s">
        <v>12</v>
      </c>
      <c r="BA2" s="8" t="s">
        <v>355</v>
      </c>
      <c r="BB2" s="8" t="s">
        <v>13</v>
      </c>
      <c r="BC2" s="8" t="s">
        <v>14</v>
      </c>
      <c r="BD2" s="8" t="s">
        <v>356</v>
      </c>
      <c r="BE2" s="8" t="s">
        <v>15</v>
      </c>
      <c r="BF2" s="8" t="s">
        <v>16</v>
      </c>
      <c r="BG2" s="11" t="s">
        <v>40</v>
      </c>
    </row>
    <row r="3" spans="1:59" x14ac:dyDescent="0.25">
      <c r="A3" t="str">
        <f ca="1"/>
        <v>SUFST</v>
      </c>
      <c r="B3" t="str">
        <f ca="1"/>
        <v>STON</v>
      </c>
      <c r="C3">
        <f ca="1"/>
        <v>2</v>
      </c>
      <c r="D3">
        <f ca="1"/>
        <v>16</v>
      </c>
      <c r="E3">
        <f ca="1"/>
        <v>47</v>
      </c>
      <c r="F3">
        <f ca="1"/>
        <v>45</v>
      </c>
      <c r="G3">
        <f ca="1"/>
        <v>46</v>
      </c>
      <c r="H3">
        <f ca="1"/>
        <v>51</v>
      </c>
      <c r="I3">
        <f ca="1"/>
        <v>0</v>
      </c>
      <c r="J3">
        <f ca="1"/>
        <v>0</v>
      </c>
      <c r="K3">
        <f ca="1"/>
        <v>0</v>
      </c>
      <c r="L3">
        <f ca="1"/>
        <v>0</v>
      </c>
      <c r="M3">
        <f ca="1"/>
        <v>0</v>
      </c>
      <c r="N3">
        <f ca="1"/>
        <v>0</v>
      </c>
      <c r="O3">
        <f ca="1"/>
        <v>0</v>
      </c>
      <c r="P3">
        <f ca="1"/>
        <v>0</v>
      </c>
      <c r="Q3">
        <f ca="1"/>
        <v>0</v>
      </c>
      <c r="R3">
        <f ca="1"/>
        <v>0</v>
      </c>
      <c r="S3">
        <f ca="1"/>
        <v>0</v>
      </c>
      <c r="T3">
        <f ca="1"/>
        <v>0</v>
      </c>
      <c r="U3">
        <f ca="1"/>
        <v>0</v>
      </c>
      <c r="V3">
        <f ca="1"/>
        <v>0</v>
      </c>
      <c r="W3">
        <f ca="1"/>
        <v>205</v>
      </c>
      <c r="X3" t="str">
        <f ca="1">B3</f>
        <v>STON</v>
      </c>
      <c r="Y3">
        <v>1</v>
      </c>
      <c r="AK3" t="s">
        <v>255</v>
      </c>
      <c r="AL3" t="s">
        <v>56</v>
      </c>
      <c r="AM3">
        <v>1</v>
      </c>
      <c r="AN3">
        <f ca="1">SUMIF(Drivers!$B$11:$B$222,"*-"&amp;Constructors!$AL3&amp;"-*",Drivers!C$11:C$222)</f>
        <v>18</v>
      </c>
      <c r="AO3">
        <f ca="1">SUMIF(Drivers!$B$11:$B$222,"*-"&amp;Constructors!$AL3&amp;"-*",Drivers!D$11:D$222)</f>
        <v>18</v>
      </c>
      <c r="AP3">
        <v>50</v>
      </c>
      <c r="AQ3">
        <f ca="1">SUMIF(Drivers!$B$11:$B$222,"*-"&amp;Constructors!$AL3&amp;"-*",Drivers!E$11:E$222)</f>
        <v>51</v>
      </c>
      <c r="AR3">
        <f ca="1">SUMIF(Drivers!$B$11:$B$222,"*-"&amp;Constructors!$AL3&amp;"-*",Drivers!F$11:F$222)</f>
        <v>45</v>
      </c>
      <c r="AS3">
        <f ca="1">SUMIF(Drivers!$B$11:$B$222,"*-"&amp;Constructors!$AL3&amp;"-*",Drivers!G$11:G$222)</f>
        <v>0</v>
      </c>
      <c r="AT3">
        <f ca="1">SUMIF(Drivers!$B$11:$B$222,"*-"&amp;Constructors!$AL3&amp;"-*",Drivers!H$11:H$222)</f>
        <v>0</v>
      </c>
      <c r="AV3">
        <f ca="1">SUMIF(Drivers!$B$11:$B$222,"*-"&amp;Constructors!$AL3&amp;"-*",Drivers!I$11:I$222)</f>
        <v>0</v>
      </c>
      <c r="AW3">
        <f ca="1">SUMIF(Drivers!$B$11:$B$222,"*-"&amp;Constructors!$AL3&amp;"-*",Drivers!J$11:J$222)</f>
        <v>0</v>
      </c>
      <c r="AY3">
        <f ca="1">SUMIF(Drivers!$B$11:$B$222,"*-"&amp;Constructors!$AL3&amp;"-*",Drivers!K$11:K$222)</f>
        <v>0</v>
      </c>
      <c r="AZ3">
        <f ca="1">SUMIF(Drivers!$B$11:$B$222,"*-"&amp;Constructors!$AL3&amp;"-*",Drivers!L$11:L$222)</f>
        <v>0</v>
      </c>
      <c r="BB3">
        <f ca="1">SUMIF(Drivers!$B$11:$B$222,"*-"&amp;Constructors!$AL3&amp;"-*",Drivers!M$11:M$222)</f>
        <v>0</v>
      </c>
      <c r="BC3">
        <f ca="1">SUMIF(Drivers!$B$11:$B$222,"*-"&amp;Constructors!$AL3&amp;"-*",Drivers!N$11:N$222)</f>
        <v>0</v>
      </c>
      <c r="BE3">
        <f ca="1">SUMIF(Drivers!$B$11:$B$222,"*-"&amp;Constructors!$AL3&amp;"-*",Drivers!O$11:O$222)</f>
        <v>0</v>
      </c>
      <c r="BF3">
        <f ca="1">SUMIF(Drivers!$B$11:$B$222,"*-"&amp;Constructors!$AL3&amp;"-*",Drivers!P$11:P$222)</f>
        <v>0</v>
      </c>
      <c r="BG3">
        <f ca="1">SUM(AN3:BF3)</f>
        <v>182</v>
      </c>
    </row>
    <row r="4" spans="1:59" x14ac:dyDescent="0.25">
      <c r="A4" t="str">
        <f ca="1"/>
        <v>NCME Racing</v>
      </c>
      <c r="B4" t="str">
        <f ca="1"/>
        <v>NCME</v>
      </c>
      <c r="C4">
        <f ca="1"/>
        <v>4</v>
      </c>
      <c r="D4">
        <f ca="1"/>
        <v>40</v>
      </c>
      <c r="E4">
        <f ca="1"/>
        <v>42</v>
      </c>
      <c r="F4">
        <f ca="1"/>
        <v>42</v>
      </c>
      <c r="G4">
        <f ca="1"/>
        <v>22</v>
      </c>
      <c r="H4">
        <f ca="1"/>
        <v>42</v>
      </c>
      <c r="I4">
        <f ca="1"/>
        <v>0</v>
      </c>
      <c r="J4">
        <f ca="1"/>
        <v>0</v>
      </c>
      <c r="K4">
        <f ca="1"/>
        <v>0</v>
      </c>
      <c r="L4">
        <f ca="1"/>
        <v>0</v>
      </c>
      <c r="M4">
        <f ca="1"/>
        <v>0</v>
      </c>
      <c r="N4">
        <f ca="1"/>
        <v>0</v>
      </c>
      <c r="O4">
        <f ca="1"/>
        <v>0</v>
      </c>
      <c r="P4">
        <f ca="1"/>
        <v>0</v>
      </c>
      <c r="Q4">
        <f ca="1"/>
        <v>0</v>
      </c>
      <c r="R4">
        <f ca="1"/>
        <v>0</v>
      </c>
      <c r="S4">
        <f ca="1"/>
        <v>0</v>
      </c>
      <c r="T4">
        <f ca="1"/>
        <v>0</v>
      </c>
      <c r="U4">
        <f ca="1"/>
        <v>0</v>
      </c>
      <c r="V4">
        <f ca="1"/>
        <v>0</v>
      </c>
      <c r="W4">
        <f ca="1"/>
        <v>188</v>
      </c>
      <c r="X4" t="str">
        <f t="shared" ref="X4:X55" ca="1" si="0">B4</f>
        <v>NCME</v>
      </c>
      <c r="Y4">
        <v>2</v>
      </c>
      <c r="Z4">
        <v>-1</v>
      </c>
      <c r="AK4" t="s">
        <v>58</v>
      </c>
      <c r="AL4" t="s">
        <v>59</v>
      </c>
      <c r="AM4">
        <v>2</v>
      </c>
      <c r="AN4">
        <f ca="1">SUMIF(Drivers!$B$11:$B$222,"*-"&amp;Constructors!$AL4&amp;"-*",Drivers!C$11:C$222)</f>
        <v>16</v>
      </c>
      <c r="AO4">
        <f ca="1">SUMIF(Drivers!$B$11:$B$222,"*-"&amp;Constructors!$AL4&amp;"-*",Drivers!D$11:D$222)</f>
        <v>47</v>
      </c>
      <c r="AP4">
        <v>45</v>
      </c>
      <c r="AQ4">
        <f ca="1">SUMIF(Drivers!$B$11:$B$222,"*-"&amp;Constructors!$AL4&amp;"-*",Drivers!E$11:E$222)</f>
        <v>46</v>
      </c>
      <c r="AR4">
        <f ca="1">SUMIF(Drivers!$B$11:$B$222,"*-"&amp;Constructors!$AL4&amp;"-*",Drivers!F$11:F$222)</f>
        <v>51</v>
      </c>
      <c r="AS4">
        <f ca="1">SUMIF(Drivers!$B$11:$B$222,"*-"&amp;Constructors!$AL4&amp;"-*",Drivers!G$11:G$222)</f>
        <v>0</v>
      </c>
      <c r="AT4">
        <f ca="1">SUMIF(Drivers!$B$11:$B$222,"*-"&amp;Constructors!$AL4&amp;"-*",Drivers!H$11:H$222)</f>
        <v>0</v>
      </c>
      <c r="AV4">
        <f ca="1">SUMIF(Drivers!$B$11:$B$222,"*-"&amp;Constructors!$AL4&amp;"-*",Drivers!I$11:I$222)</f>
        <v>0</v>
      </c>
      <c r="AW4">
        <f ca="1">SUMIF(Drivers!$B$11:$B$222,"*-"&amp;Constructors!$AL4&amp;"-*",Drivers!J$11:J$222)</f>
        <v>0</v>
      </c>
      <c r="AY4">
        <f ca="1">SUMIF(Drivers!$B$11:$B$222,"*-"&amp;Constructors!$AL4&amp;"-*",Drivers!K$11:K$222)</f>
        <v>0</v>
      </c>
      <c r="AZ4">
        <f ca="1">SUMIF(Drivers!$B$11:$B$222,"*-"&amp;Constructors!$AL4&amp;"-*",Drivers!L$11:L$222)</f>
        <v>0</v>
      </c>
      <c r="BB4">
        <f ca="1">SUMIF(Drivers!$B$11:$B$222,"*-"&amp;Constructors!$AL4&amp;"-*",Drivers!M$11:M$222)</f>
        <v>0</v>
      </c>
      <c r="BC4">
        <f ca="1">SUMIF(Drivers!$B$11:$B$222,"*-"&amp;Constructors!$AL4&amp;"-*",Drivers!N$11:N$222)</f>
        <v>0</v>
      </c>
      <c r="BE4">
        <f ca="1">SUMIF(Drivers!$B$11:$B$222,"*-"&amp;Constructors!$AL4&amp;"-*",Drivers!O$11:O$222)</f>
        <v>0</v>
      </c>
      <c r="BF4">
        <f ca="1">SUMIF(Drivers!$B$11:$B$222,"*-"&amp;Constructors!$AL4&amp;"-*",Drivers!P$11:P$222)</f>
        <v>0</v>
      </c>
      <c r="BG4">
        <f t="shared" ref="BG4:BG55" ca="1" si="1">SUM(AN4:BF4)</f>
        <v>205</v>
      </c>
    </row>
    <row r="5" spans="1:59" x14ac:dyDescent="0.25">
      <c r="A5" t="str">
        <f ca="1"/>
        <v>UG Racing</v>
      </c>
      <c r="B5" t="str">
        <f ca="1"/>
        <v>UGRA</v>
      </c>
      <c r="C5">
        <f ca="1"/>
        <v>1</v>
      </c>
      <c r="D5">
        <f ca="1"/>
        <v>18</v>
      </c>
      <c r="E5">
        <f ca="1"/>
        <v>18</v>
      </c>
      <c r="F5">
        <f ca="1"/>
        <v>50</v>
      </c>
      <c r="G5">
        <f ca="1"/>
        <v>51</v>
      </c>
      <c r="H5">
        <f ca="1"/>
        <v>45</v>
      </c>
      <c r="I5">
        <f ca="1"/>
        <v>0</v>
      </c>
      <c r="J5">
        <f ca="1"/>
        <v>0</v>
      </c>
      <c r="K5">
        <f ca="1"/>
        <v>0</v>
      </c>
      <c r="L5">
        <f ca="1"/>
        <v>0</v>
      </c>
      <c r="M5">
        <f ca="1"/>
        <v>0</v>
      </c>
      <c r="N5">
        <f ca="1"/>
        <v>0</v>
      </c>
      <c r="O5">
        <f ca="1"/>
        <v>0</v>
      </c>
      <c r="P5">
        <f ca="1"/>
        <v>0</v>
      </c>
      <c r="Q5">
        <f ca="1"/>
        <v>0</v>
      </c>
      <c r="R5">
        <f ca="1"/>
        <v>0</v>
      </c>
      <c r="S5">
        <f ca="1"/>
        <v>0</v>
      </c>
      <c r="T5">
        <f ca="1"/>
        <v>0</v>
      </c>
      <c r="U5">
        <f ca="1"/>
        <v>0</v>
      </c>
      <c r="V5">
        <f ca="1"/>
        <v>0</v>
      </c>
      <c r="W5">
        <f ca="1"/>
        <v>182</v>
      </c>
      <c r="X5" t="str">
        <f t="shared" ca="1" si="0"/>
        <v>UGRA</v>
      </c>
      <c r="Y5">
        <v>3</v>
      </c>
      <c r="AK5" t="s">
        <v>60</v>
      </c>
      <c r="AL5" t="s">
        <v>61</v>
      </c>
      <c r="AM5">
        <v>3</v>
      </c>
      <c r="AN5">
        <f ca="1">SUMIF(Drivers!$B$11:$B$222,"*-"&amp;Constructors!$AL5&amp;"-*",Drivers!C$11:C$222)</f>
        <v>38</v>
      </c>
      <c r="AO5">
        <f ca="1">SUMIF(Drivers!$B$11:$B$222,"*-"&amp;Constructors!$AL5&amp;"-*",Drivers!D$11:D$222)</f>
        <v>36</v>
      </c>
      <c r="AP5">
        <v>20</v>
      </c>
      <c r="AQ5">
        <f ca="1">SUMIF(Drivers!$B$11:$B$222,"*-"&amp;Constructors!$AL5&amp;"-*",Drivers!E$11:E$222)</f>
        <v>42</v>
      </c>
      <c r="AR5">
        <f ca="1">SUMIF(Drivers!$B$11:$B$222,"*-"&amp;Constructors!$AL5&amp;"-*",Drivers!F$11:F$222)</f>
        <v>22</v>
      </c>
      <c r="AS5">
        <f ca="1">SUMIF(Drivers!$B$11:$B$222,"*-"&amp;Constructors!$AL5&amp;"-*",Drivers!G$11:G$222)</f>
        <v>0</v>
      </c>
      <c r="AT5">
        <f ca="1">SUMIF(Drivers!$B$11:$B$222,"*-"&amp;Constructors!$AL5&amp;"-*",Drivers!H$11:H$222)</f>
        <v>0</v>
      </c>
      <c r="AV5">
        <f ca="1">SUMIF(Drivers!$B$11:$B$222,"*-"&amp;Constructors!$AL5&amp;"-*",Drivers!I$11:I$222)</f>
        <v>0</v>
      </c>
      <c r="AW5">
        <f ca="1">SUMIF(Drivers!$B$11:$B$222,"*-"&amp;Constructors!$AL5&amp;"-*",Drivers!J$11:J$222)</f>
        <v>0</v>
      </c>
      <c r="AY5">
        <f ca="1">SUMIF(Drivers!$B$11:$B$222,"*-"&amp;Constructors!$AL5&amp;"-*",Drivers!K$11:K$222)</f>
        <v>0</v>
      </c>
      <c r="AZ5">
        <f ca="1">SUMIF(Drivers!$B$11:$B$222,"*-"&amp;Constructors!$AL5&amp;"-*",Drivers!L$11:L$222)</f>
        <v>0</v>
      </c>
      <c r="BB5">
        <f ca="1">SUMIF(Drivers!$B$11:$B$222,"*-"&amp;Constructors!$AL5&amp;"-*",Drivers!M$11:M$222)</f>
        <v>0</v>
      </c>
      <c r="BC5">
        <f ca="1">SUMIF(Drivers!$B$11:$B$222,"*-"&amp;Constructors!$AL5&amp;"-*",Drivers!N$11:N$222)</f>
        <v>0</v>
      </c>
      <c r="BE5">
        <f ca="1">SUMIF(Drivers!$B$11:$B$222,"*-"&amp;Constructors!$AL5&amp;"-*",Drivers!O$11:O$222)</f>
        <v>0</v>
      </c>
      <c r="BF5">
        <f ca="1">SUMIF(Drivers!$B$11:$B$222,"*-"&amp;Constructors!$AL5&amp;"-*",Drivers!P$11:P$222)</f>
        <v>0</v>
      </c>
      <c r="BG5">
        <f t="shared" ca="1" si="1"/>
        <v>158</v>
      </c>
    </row>
    <row r="6" spans="1:59" x14ac:dyDescent="0.25">
      <c r="A6" t="str">
        <f ca="1"/>
        <v>UVigo Motorsport</v>
      </c>
      <c r="B6" t="str">
        <f ca="1"/>
        <v>VIGO</v>
      </c>
      <c r="C6">
        <f ca="1"/>
        <v>40</v>
      </c>
      <c r="D6">
        <f ca="1"/>
        <v>46</v>
      </c>
      <c r="E6">
        <f ca="1"/>
        <v>50</v>
      </c>
      <c r="F6">
        <f ca="1"/>
        <v>32</v>
      </c>
      <c r="G6">
        <f ca="1"/>
        <v>26</v>
      </c>
      <c r="H6">
        <f ca="1"/>
        <v>25</v>
      </c>
      <c r="I6">
        <f ca="1"/>
        <v>0</v>
      </c>
      <c r="J6">
        <f ca="1"/>
        <v>0</v>
      </c>
      <c r="K6">
        <f ca="1"/>
        <v>0</v>
      </c>
      <c r="L6">
        <f ca="1"/>
        <v>0</v>
      </c>
      <c r="M6">
        <f ca="1"/>
        <v>0</v>
      </c>
      <c r="N6">
        <f ca="1"/>
        <v>0</v>
      </c>
      <c r="O6">
        <f ca="1"/>
        <v>0</v>
      </c>
      <c r="P6">
        <f ca="1"/>
        <v>0</v>
      </c>
      <c r="Q6">
        <f ca="1"/>
        <v>0</v>
      </c>
      <c r="R6">
        <f ca="1"/>
        <v>0</v>
      </c>
      <c r="S6">
        <f ca="1"/>
        <v>0</v>
      </c>
      <c r="T6">
        <f ca="1"/>
        <v>0</v>
      </c>
      <c r="U6">
        <f ca="1"/>
        <v>0</v>
      </c>
      <c r="V6">
        <f ca="1"/>
        <v>0</v>
      </c>
      <c r="W6">
        <f ca="1"/>
        <v>179</v>
      </c>
      <c r="X6" t="str">
        <f t="shared" ca="1" si="0"/>
        <v>VIGO</v>
      </c>
      <c r="Y6">
        <v>4</v>
      </c>
      <c r="Z6">
        <v>1</v>
      </c>
      <c r="AK6" t="s">
        <v>256</v>
      </c>
      <c r="AL6" t="s">
        <v>62</v>
      </c>
      <c r="AM6">
        <v>4</v>
      </c>
      <c r="AN6">
        <f ca="1">SUMIF(Drivers!$B$11:$B$222,"*-"&amp;Constructors!$AL6&amp;"-*",Drivers!C$11:C$222)</f>
        <v>40</v>
      </c>
      <c r="AO6">
        <f ca="1">SUMIF(Drivers!$B$11:$B$222,"*-"&amp;Constructors!$AL6&amp;"-*",Drivers!D$11:D$222)</f>
        <v>42</v>
      </c>
      <c r="AP6">
        <v>42</v>
      </c>
      <c r="AQ6">
        <f ca="1">SUMIF(Drivers!$B$11:$B$222,"*-"&amp;Constructors!$AL6&amp;"-*",Drivers!E$11:E$222)</f>
        <v>22</v>
      </c>
      <c r="AR6">
        <f ca="1">SUMIF(Drivers!$B$11:$B$222,"*-"&amp;Constructors!$AL6&amp;"-*",Drivers!F$11:F$222)</f>
        <v>42</v>
      </c>
      <c r="AS6">
        <f ca="1">SUMIF(Drivers!$B$11:$B$222,"*-"&amp;Constructors!$AL6&amp;"-*",Drivers!G$11:G$222)</f>
        <v>0</v>
      </c>
      <c r="AT6">
        <f ca="1">SUMIF(Drivers!$B$11:$B$222,"*-"&amp;Constructors!$AL6&amp;"-*",Drivers!H$11:H$222)</f>
        <v>0</v>
      </c>
      <c r="AV6">
        <f ca="1">SUMIF(Drivers!$B$11:$B$222,"*-"&amp;Constructors!$AL6&amp;"-*",Drivers!I$11:I$222)</f>
        <v>0</v>
      </c>
      <c r="AW6">
        <f ca="1">SUMIF(Drivers!$B$11:$B$222,"*-"&amp;Constructors!$AL6&amp;"-*",Drivers!J$11:J$222)</f>
        <v>0</v>
      </c>
      <c r="AY6">
        <f ca="1">SUMIF(Drivers!$B$11:$B$222,"*-"&amp;Constructors!$AL6&amp;"-*",Drivers!K$11:K$222)</f>
        <v>0</v>
      </c>
      <c r="AZ6">
        <f ca="1">SUMIF(Drivers!$B$11:$B$222,"*-"&amp;Constructors!$AL6&amp;"-*",Drivers!L$11:L$222)</f>
        <v>0</v>
      </c>
      <c r="BB6">
        <f ca="1">SUMIF(Drivers!$B$11:$B$222,"*-"&amp;Constructors!$AL6&amp;"-*",Drivers!M$11:M$222)</f>
        <v>0</v>
      </c>
      <c r="BC6">
        <f ca="1">SUMIF(Drivers!$B$11:$B$222,"*-"&amp;Constructors!$AL6&amp;"-*",Drivers!N$11:N$222)</f>
        <v>0</v>
      </c>
      <c r="BE6">
        <f ca="1">SUMIF(Drivers!$B$11:$B$222,"*-"&amp;Constructors!$AL6&amp;"-*",Drivers!O$11:O$222)</f>
        <v>0</v>
      </c>
      <c r="BF6">
        <f ca="1">SUMIF(Drivers!$B$11:$B$222,"*-"&amp;Constructors!$AL6&amp;"-*",Drivers!P$11:P$222)</f>
        <v>0</v>
      </c>
      <c r="BG6">
        <f t="shared" ca="1" si="1"/>
        <v>188</v>
      </c>
    </row>
    <row r="7" spans="1:59" x14ac:dyDescent="0.25">
      <c r="A7" t="str">
        <f ca="1"/>
        <v>HERT</v>
      </c>
      <c r="B7" t="str">
        <f ca="1"/>
        <v>HULLA</v>
      </c>
      <c r="C7">
        <f ca="1"/>
        <v>3</v>
      </c>
      <c r="D7">
        <f ca="1"/>
        <v>38</v>
      </c>
      <c r="E7">
        <f ca="1"/>
        <v>36</v>
      </c>
      <c r="F7">
        <f ca="1"/>
        <v>20</v>
      </c>
      <c r="G7">
        <f ca="1"/>
        <v>42</v>
      </c>
      <c r="H7">
        <f ca="1"/>
        <v>22</v>
      </c>
      <c r="I7">
        <f ca="1"/>
        <v>0</v>
      </c>
      <c r="J7">
        <f ca="1"/>
        <v>0</v>
      </c>
      <c r="K7">
        <f ca="1"/>
        <v>0</v>
      </c>
      <c r="L7">
        <f ca="1"/>
        <v>0</v>
      </c>
      <c r="M7">
        <f ca="1"/>
        <v>0</v>
      </c>
      <c r="N7">
        <f ca="1"/>
        <v>0</v>
      </c>
      <c r="O7">
        <f ca="1"/>
        <v>0</v>
      </c>
      <c r="P7">
        <f ca="1"/>
        <v>0</v>
      </c>
      <c r="Q7">
        <f ca="1"/>
        <v>0</v>
      </c>
      <c r="R7">
        <f ca="1"/>
        <v>0</v>
      </c>
      <c r="S7">
        <f ca="1"/>
        <v>0</v>
      </c>
      <c r="T7">
        <f ca="1"/>
        <v>0</v>
      </c>
      <c r="U7">
        <f ca="1"/>
        <v>0</v>
      </c>
      <c r="V7">
        <f ca="1"/>
        <v>0</v>
      </c>
      <c r="W7">
        <f ca="1"/>
        <v>158</v>
      </c>
      <c r="X7" t="str">
        <f t="shared" ca="1" si="0"/>
        <v>HULLA</v>
      </c>
      <c r="Y7">
        <v>5</v>
      </c>
      <c r="AK7" t="s">
        <v>257</v>
      </c>
      <c r="AL7" t="s">
        <v>63</v>
      </c>
      <c r="AM7">
        <v>5</v>
      </c>
      <c r="AN7">
        <f ca="1">SUMIF(Drivers!$B$11:$B$222,"*-"&amp;Constructors!$AL7&amp;"-*",Drivers!C$11:C$222)</f>
        <v>16</v>
      </c>
      <c r="AO7">
        <f ca="1">SUMIF(Drivers!$B$11:$B$222,"*-"&amp;Constructors!$AL7&amp;"-*",Drivers!D$11:D$222)</f>
        <v>40</v>
      </c>
      <c r="AQ7">
        <f ca="1">SUMIF(Drivers!$B$11:$B$222,"*-"&amp;Constructors!$AL7&amp;"-*",Drivers!E$11:E$222)</f>
        <v>24</v>
      </c>
      <c r="AR7">
        <f ca="1">SUMIF(Drivers!$B$11:$B$222,"*-"&amp;Constructors!$AL7&amp;"-*",Drivers!F$11:F$222)</f>
        <v>7</v>
      </c>
      <c r="AS7">
        <f ca="1">SUMIF(Drivers!$B$11:$B$222,"*-"&amp;Constructors!$AL7&amp;"-*",Drivers!G$11:G$222)</f>
        <v>0</v>
      </c>
      <c r="AT7">
        <f ca="1">SUMIF(Drivers!$B$11:$B$222,"*-"&amp;Constructors!$AL7&amp;"-*",Drivers!H$11:H$222)</f>
        <v>0</v>
      </c>
      <c r="AV7">
        <f ca="1">SUMIF(Drivers!$B$11:$B$222,"*-"&amp;Constructors!$AL7&amp;"-*",Drivers!I$11:I$222)</f>
        <v>0</v>
      </c>
      <c r="AW7">
        <f ca="1">SUMIF(Drivers!$B$11:$B$222,"*-"&amp;Constructors!$AL7&amp;"-*",Drivers!J$11:J$222)</f>
        <v>0</v>
      </c>
      <c r="AY7">
        <f ca="1">SUMIF(Drivers!$B$11:$B$222,"*-"&amp;Constructors!$AL7&amp;"-*",Drivers!K$11:K$222)</f>
        <v>0</v>
      </c>
      <c r="AZ7">
        <f ca="1">SUMIF(Drivers!$B$11:$B$222,"*-"&amp;Constructors!$AL7&amp;"-*",Drivers!L$11:L$222)</f>
        <v>0</v>
      </c>
      <c r="BB7">
        <f ca="1">SUMIF(Drivers!$B$11:$B$222,"*-"&amp;Constructors!$AL7&amp;"-*",Drivers!M$11:M$222)</f>
        <v>0</v>
      </c>
      <c r="BC7">
        <f ca="1">SUMIF(Drivers!$B$11:$B$222,"*-"&amp;Constructors!$AL7&amp;"-*",Drivers!N$11:N$222)</f>
        <v>0</v>
      </c>
      <c r="BE7">
        <f ca="1">SUMIF(Drivers!$B$11:$B$222,"*-"&amp;Constructors!$AL7&amp;"-*",Drivers!O$11:O$222)</f>
        <v>0</v>
      </c>
      <c r="BF7">
        <f ca="1">SUMIF(Drivers!$B$11:$B$222,"*-"&amp;Constructors!$AL7&amp;"-*",Drivers!P$11:P$222)</f>
        <v>0</v>
      </c>
      <c r="BG7">
        <f t="shared" ca="1" si="1"/>
        <v>87</v>
      </c>
    </row>
    <row r="8" spans="1:59" x14ac:dyDescent="0.25">
      <c r="A8" t="str">
        <f ca="1"/>
        <v>Salford Racing</v>
      </c>
      <c r="B8" t="str">
        <f ca="1"/>
        <v>SALF</v>
      </c>
      <c r="C8">
        <f ca="1"/>
        <v>6</v>
      </c>
      <c r="D8">
        <f ca="1"/>
        <v>42</v>
      </c>
      <c r="E8">
        <f ca="1"/>
        <v>25</v>
      </c>
      <c r="F8">
        <f ca="1"/>
        <v>0</v>
      </c>
      <c r="G8">
        <f ca="1"/>
        <v>36</v>
      </c>
      <c r="H8">
        <f ca="1"/>
        <v>42</v>
      </c>
      <c r="I8">
        <f ca="1"/>
        <v>0</v>
      </c>
      <c r="J8">
        <f ca="1"/>
        <v>0</v>
      </c>
      <c r="K8">
        <f ca="1"/>
        <v>0</v>
      </c>
      <c r="L8">
        <f ca="1"/>
        <v>0</v>
      </c>
      <c r="M8">
        <f ca="1"/>
        <v>0</v>
      </c>
      <c r="N8">
        <f ca="1"/>
        <v>0</v>
      </c>
      <c r="O8">
        <f ca="1"/>
        <v>0</v>
      </c>
      <c r="P8">
        <f ca="1"/>
        <v>0</v>
      </c>
      <c r="Q8">
        <f ca="1"/>
        <v>0</v>
      </c>
      <c r="R8">
        <f ca="1"/>
        <v>0</v>
      </c>
      <c r="S8">
        <f ca="1"/>
        <v>0</v>
      </c>
      <c r="T8">
        <f ca="1"/>
        <v>0</v>
      </c>
      <c r="U8">
        <f ca="1"/>
        <v>0</v>
      </c>
      <c r="V8">
        <f ca="1"/>
        <v>0</v>
      </c>
      <c r="W8">
        <f ca="1"/>
        <v>145</v>
      </c>
      <c r="X8" t="str">
        <f t="shared" ca="1" si="0"/>
        <v>SALF</v>
      </c>
      <c r="Y8">
        <v>6</v>
      </c>
      <c r="AK8" t="s">
        <v>17</v>
      </c>
      <c r="AL8" t="s">
        <v>64</v>
      </c>
      <c r="AM8">
        <v>6</v>
      </c>
      <c r="AN8">
        <f ca="1">SUMIF(Drivers!$B$11:$B$222,"*-"&amp;Constructors!$AL8&amp;"-*",Drivers!C$11:C$222)</f>
        <v>42</v>
      </c>
      <c r="AO8">
        <f ca="1">SUMIF(Drivers!$B$11:$B$222,"*-"&amp;Constructors!$AL8&amp;"-*",Drivers!D$11:D$222)</f>
        <v>25</v>
      </c>
      <c r="AP8">
        <v>0</v>
      </c>
      <c r="AQ8">
        <f ca="1">SUMIF(Drivers!$B$11:$B$222,"*-"&amp;Constructors!$AL8&amp;"-*",Drivers!E$11:E$222)</f>
        <v>36</v>
      </c>
      <c r="AR8">
        <f ca="1">SUMIF(Drivers!$B$11:$B$222,"*-"&amp;Constructors!$AL8&amp;"-*",Drivers!F$11:F$222)</f>
        <v>42</v>
      </c>
      <c r="AS8">
        <f ca="1">SUMIF(Drivers!$B$11:$B$222,"*-"&amp;Constructors!$AL8&amp;"-*",Drivers!G$11:G$222)</f>
        <v>0</v>
      </c>
      <c r="AT8">
        <f ca="1">SUMIF(Drivers!$B$11:$B$222,"*-"&amp;Constructors!$AL8&amp;"-*",Drivers!H$11:H$222)</f>
        <v>0</v>
      </c>
      <c r="AV8">
        <f ca="1">SUMIF(Drivers!$B$11:$B$222,"*-"&amp;Constructors!$AL8&amp;"-*",Drivers!I$11:I$222)</f>
        <v>0</v>
      </c>
      <c r="AW8">
        <f ca="1">SUMIF(Drivers!$B$11:$B$222,"*-"&amp;Constructors!$AL8&amp;"-*",Drivers!J$11:J$222)</f>
        <v>0</v>
      </c>
      <c r="AY8">
        <f ca="1">SUMIF(Drivers!$B$11:$B$222,"*-"&amp;Constructors!$AL8&amp;"-*",Drivers!K$11:K$222)</f>
        <v>0</v>
      </c>
      <c r="AZ8">
        <f ca="1">SUMIF(Drivers!$B$11:$B$222,"*-"&amp;Constructors!$AL8&amp;"-*",Drivers!L$11:L$222)</f>
        <v>0</v>
      </c>
      <c r="BB8">
        <f ca="1">SUMIF(Drivers!$B$11:$B$222,"*-"&amp;Constructors!$AL8&amp;"-*",Drivers!M$11:M$222)</f>
        <v>0</v>
      </c>
      <c r="BC8">
        <f ca="1">SUMIF(Drivers!$B$11:$B$222,"*-"&amp;Constructors!$AL8&amp;"-*",Drivers!N$11:N$222)</f>
        <v>0</v>
      </c>
      <c r="BE8">
        <f ca="1">SUMIF(Drivers!$B$11:$B$222,"*-"&amp;Constructors!$AL8&amp;"-*",Drivers!O$11:O$222)</f>
        <v>0</v>
      </c>
      <c r="BF8">
        <f ca="1">SUMIF(Drivers!$B$11:$B$222,"*-"&amp;Constructors!$AL8&amp;"-*",Drivers!P$11:P$222)</f>
        <v>0</v>
      </c>
      <c r="BG8">
        <f t="shared" ca="1" si="1"/>
        <v>145</v>
      </c>
    </row>
    <row r="9" spans="1:59" x14ac:dyDescent="0.25">
      <c r="A9" t="str">
        <f ca="1"/>
        <v>UCD Formula Student</v>
      </c>
      <c r="B9" t="str">
        <f ca="1"/>
        <v>UCD</v>
      </c>
      <c r="C9">
        <f ca="1"/>
        <v>35</v>
      </c>
      <c r="D9">
        <f ca="1"/>
        <v>29</v>
      </c>
      <c r="E9">
        <f ca="1"/>
        <v>26</v>
      </c>
      <c r="F9">
        <f ca="1"/>
        <v>40</v>
      </c>
      <c r="G9">
        <f ca="1"/>
        <v>19</v>
      </c>
      <c r="H9">
        <f ca="1"/>
        <v>28</v>
      </c>
      <c r="I9">
        <f ca="1"/>
        <v>0</v>
      </c>
      <c r="J9">
        <f ca="1"/>
        <v>0</v>
      </c>
      <c r="K9">
        <f ca="1"/>
        <v>0</v>
      </c>
      <c r="L9">
        <f ca="1"/>
        <v>0</v>
      </c>
      <c r="M9">
        <f ca="1"/>
        <v>0</v>
      </c>
      <c r="N9">
        <f ca="1"/>
        <v>0</v>
      </c>
      <c r="O9">
        <f ca="1"/>
        <v>0</v>
      </c>
      <c r="P9">
        <f ca="1"/>
        <v>0</v>
      </c>
      <c r="Q9">
        <f ca="1"/>
        <v>0</v>
      </c>
      <c r="R9">
        <f ca="1"/>
        <v>0</v>
      </c>
      <c r="S9">
        <f ca="1"/>
        <v>0</v>
      </c>
      <c r="T9">
        <f ca="1"/>
        <v>0</v>
      </c>
      <c r="U9">
        <f ca="1"/>
        <v>0</v>
      </c>
      <c r="V9">
        <f ca="1"/>
        <v>0</v>
      </c>
      <c r="W9">
        <f ca="1"/>
        <v>142</v>
      </c>
      <c r="X9" t="str">
        <f t="shared" ca="1" si="0"/>
        <v>UCD</v>
      </c>
      <c r="Y9">
        <v>7</v>
      </c>
      <c r="AK9" t="s">
        <v>65</v>
      </c>
      <c r="AL9" t="s">
        <v>65</v>
      </c>
      <c r="AM9">
        <v>7</v>
      </c>
      <c r="AN9">
        <f ca="1">SUMIF(Drivers!$B$11:$B$222,"*-"&amp;Constructors!$AL9&amp;"-*",Drivers!C$11:C$222)</f>
        <v>22</v>
      </c>
      <c r="AO9">
        <f ca="1">SUMIF(Drivers!$B$11:$B$222,"*-"&amp;Constructors!$AL9&amp;"-*",Drivers!D$11:D$222)</f>
        <v>20</v>
      </c>
      <c r="AP9">
        <v>36</v>
      </c>
      <c r="AQ9">
        <f ca="1">SUMIF(Drivers!$B$11:$B$222,"*-"&amp;Constructors!$AL9&amp;"-*",Drivers!E$11:E$222)</f>
        <v>0</v>
      </c>
      <c r="AR9">
        <f ca="1">SUMIF(Drivers!$B$11:$B$222,"*-"&amp;Constructors!$AL9&amp;"-*",Drivers!F$11:F$222)</f>
        <v>0</v>
      </c>
      <c r="AS9">
        <f ca="1">SUMIF(Drivers!$B$11:$B$222,"*-"&amp;Constructors!$AL9&amp;"-*",Drivers!G$11:G$222)</f>
        <v>0</v>
      </c>
      <c r="AT9">
        <f ca="1">SUMIF(Drivers!$B$11:$B$222,"*-"&amp;Constructors!$AL9&amp;"-*",Drivers!H$11:H$222)</f>
        <v>0</v>
      </c>
      <c r="AV9">
        <f ca="1">SUMIF(Drivers!$B$11:$B$222,"*-"&amp;Constructors!$AL9&amp;"-*",Drivers!I$11:I$222)</f>
        <v>0</v>
      </c>
      <c r="AW9">
        <f ca="1">SUMIF(Drivers!$B$11:$B$222,"*-"&amp;Constructors!$AL9&amp;"-*",Drivers!J$11:J$222)</f>
        <v>0</v>
      </c>
      <c r="AY9">
        <f ca="1">SUMIF(Drivers!$B$11:$B$222,"*-"&amp;Constructors!$AL9&amp;"-*",Drivers!K$11:K$222)</f>
        <v>0</v>
      </c>
      <c r="AZ9">
        <f ca="1">SUMIF(Drivers!$B$11:$B$222,"*-"&amp;Constructors!$AL9&amp;"-*",Drivers!L$11:L$222)</f>
        <v>0</v>
      </c>
      <c r="BB9">
        <f ca="1">SUMIF(Drivers!$B$11:$B$222,"*-"&amp;Constructors!$AL9&amp;"-*",Drivers!M$11:M$222)</f>
        <v>0</v>
      </c>
      <c r="BC9">
        <f ca="1">SUMIF(Drivers!$B$11:$B$222,"*-"&amp;Constructors!$AL9&amp;"-*",Drivers!N$11:N$222)</f>
        <v>0</v>
      </c>
      <c r="BE9">
        <f ca="1">SUMIF(Drivers!$B$11:$B$222,"*-"&amp;Constructors!$AL9&amp;"-*",Drivers!O$11:O$222)</f>
        <v>0</v>
      </c>
      <c r="BF9">
        <f ca="1">SUMIF(Drivers!$B$11:$B$222,"*-"&amp;Constructors!$AL9&amp;"-*",Drivers!P$11:P$222)</f>
        <v>0</v>
      </c>
      <c r="BG9">
        <f t="shared" ca="1" si="1"/>
        <v>78</v>
      </c>
    </row>
    <row r="10" spans="1:59" x14ac:dyDescent="0.25">
      <c r="A10" t="str">
        <f ca="1"/>
        <v>UPRacing Alternative Fuel</v>
      </c>
      <c r="B10" t="str">
        <f ca="1"/>
        <v>UPRAF</v>
      </c>
      <c r="C10">
        <f ca="1"/>
        <v>48</v>
      </c>
      <c r="D10">
        <f ca="1"/>
        <v>50</v>
      </c>
      <c r="E10">
        <f ca="1"/>
        <v>15</v>
      </c>
      <c r="F10">
        <f ca="1"/>
        <v>0</v>
      </c>
      <c r="G10">
        <f ca="1"/>
        <v>39</v>
      </c>
      <c r="H10">
        <f ca="1"/>
        <v>32</v>
      </c>
      <c r="I10">
        <f ca="1"/>
        <v>0</v>
      </c>
      <c r="J10">
        <f ca="1"/>
        <v>0</v>
      </c>
      <c r="K10">
        <f ca="1"/>
        <v>0</v>
      </c>
      <c r="L10">
        <f ca="1"/>
        <v>0</v>
      </c>
      <c r="M10">
        <f ca="1"/>
        <v>0</v>
      </c>
      <c r="N10">
        <f ca="1"/>
        <v>0</v>
      </c>
      <c r="O10">
        <f ca="1"/>
        <v>0</v>
      </c>
      <c r="P10">
        <f ca="1"/>
        <v>0</v>
      </c>
      <c r="Q10">
        <f ca="1"/>
        <v>0</v>
      </c>
      <c r="R10">
        <f ca="1"/>
        <v>0</v>
      </c>
      <c r="S10">
        <f ca="1"/>
        <v>0</v>
      </c>
      <c r="T10">
        <f ca="1"/>
        <v>0</v>
      </c>
      <c r="U10">
        <f ca="1"/>
        <v>0</v>
      </c>
      <c r="V10">
        <f ca="1"/>
        <v>0</v>
      </c>
      <c r="W10">
        <f ca="1"/>
        <v>136</v>
      </c>
      <c r="X10" t="str">
        <f t="shared" ca="1" si="0"/>
        <v>UPRAF</v>
      </c>
      <c r="Y10">
        <v>8</v>
      </c>
      <c r="AK10" t="s">
        <v>258</v>
      </c>
      <c r="AL10" t="s">
        <v>66</v>
      </c>
      <c r="AM10">
        <v>8</v>
      </c>
      <c r="AN10">
        <f ca="1">SUMIF(Drivers!$B$11:$B$222,"*-"&amp;Constructors!$AL10&amp;"-*",Drivers!C$11:C$222)</f>
        <v>30</v>
      </c>
      <c r="AO10">
        <f ca="1">SUMIF(Drivers!$B$11:$B$222,"*-"&amp;Constructors!$AL10&amp;"-*",Drivers!D$11:D$222)</f>
        <v>17</v>
      </c>
      <c r="AP10">
        <v>28</v>
      </c>
      <c r="AQ10">
        <f ca="1">SUMIF(Drivers!$B$11:$B$222,"*-"&amp;Constructors!$AL10&amp;"-*",Drivers!E$11:E$222)</f>
        <v>18</v>
      </c>
      <c r="AR10">
        <f ca="1">SUMIF(Drivers!$B$11:$B$222,"*-"&amp;Constructors!$AL10&amp;"-*",Drivers!F$11:F$222)</f>
        <v>36</v>
      </c>
      <c r="AS10">
        <f ca="1">SUMIF(Drivers!$B$11:$B$222,"*-"&amp;Constructors!$AL10&amp;"-*",Drivers!G$11:G$222)</f>
        <v>0</v>
      </c>
      <c r="AT10">
        <f ca="1">SUMIF(Drivers!$B$11:$B$222,"*-"&amp;Constructors!$AL10&amp;"-*",Drivers!H$11:H$222)</f>
        <v>0</v>
      </c>
      <c r="AV10">
        <f ca="1">SUMIF(Drivers!$B$11:$B$222,"*-"&amp;Constructors!$AL10&amp;"-*",Drivers!I$11:I$222)</f>
        <v>0</v>
      </c>
      <c r="AW10">
        <f ca="1">SUMIF(Drivers!$B$11:$B$222,"*-"&amp;Constructors!$AL10&amp;"-*",Drivers!J$11:J$222)</f>
        <v>0</v>
      </c>
      <c r="AY10">
        <f ca="1">SUMIF(Drivers!$B$11:$B$222,"*-"&amp;Constructors!$AL10&amp;"-*",Drivers!K$11:K$222)</f>
        <v>0</v>
      </c>
      <c r="AZ10">
        <f ca="1">SUMIF(Drivers!$B$11:$B$222,"*-"&amp;Constructors!$AL10&amp;"-*",Drivers!L$11:L$222)</f>
        <v>0</v>
      </c>
      <c r="BB10">
        <f ca="1">SUMIF(Drivers!$B$11:$B$222,"*-"&amp;Constructors!$AL10&amp;"-*",Drivers!M$11:M$222)</f>
        <v>0</v>
      </c>
      <c r="BC10">
        <f ca="1">SUMIF(Drivers!$B$11:$B$222,"*-"&amp;Constructors!$AL10&amp;"-*",Drivers!N$11:N$222)</f>
        <v>0</v>
      </c>
      <c r="BE10">
        <f ca="1">SUMIF(Drivers!$B$11:$B$222,"*-"&amp;Constructors!$AL10&amp;"-*",Drivers!O$11:O$222)</f>
        <v>0</v>
      </c>
      <c r="BF10">
        <f ca="1">SUMIF(Drivers!$B$11:$B$222,"*-"&amp;Constructors!$AL10&amp;"-*",Drivers!P$11:P$222)</f>
        <v>0</v>
      </c>
      <c r="BG10">
        <f t="shared" ca="1" si="1"/>
        <v>129</v>
      </c>
    </row>
    <row r="11" spans="1:59" x14ac:dyDescent="0.25">
      <c r="A11" t="str">
        <f ca="1"/>
        <v>Cardiff Racing</v>
      </c>
      <c r="B11" t="str">
        <f ca="1"/>
        <v>CARD</v>
      </c>
      <c r="C11">
        <f ca="1"/>
        <v>8</v>
      </c>
      <c r="D11">
        <f ca="1"/>
        <v>30</v>
      </c>
      <c r="E11">
        <f ca="1"/>
        <v>17</v>
      </c>
      <c r="F11">
        <f ca="1"/>
        <v>28</v>
      </c>
      <c r="G11">
        <f ca="1"/>
        <v>18</v>
      </c>
      <c r="H11">
        <f ca="1"/>
        <v>36</v>
      </c>
      <c r="I11">
        <f ca="1"/>
        <v>0</v>
      </c>
      <c r="J11">
        <f ca="1"/>
        <v>0</v>
      </c>
      <c r="K11">
        <f ca="1"/>
        <v>0</v>
      </c>
      <c r="L11">
        <f ca="1"/>
        <v>0</v>
      </c>
      <c r="M11">
        <f ca="1"/>
        <v>0</v>
      </c>
      <c r="N11">
        <f ca="1"/>
        <v>0</v>
      </c>
      <c r="O11">
        <f ca="1"/>
        <v>0</v>
      </c>
      <c r="P11">
        <f ca="1"/>
        <v>0</v>
      </c>
      <c r="Q11">
        <f ca="1"/>
        <v>0</v>
      </c>
      <c r="R11">
        <f ca="1"/>
        <v>0</v>
      </c>
      <c r="S11">
        <f ca="1"/>
        <v>0</v>
      </c>
      <c r="T11">
        <f ca="1"/>
        <v>0</v>
      </c>
      <c r="U11">
        <f ca="1"/>
        <v>0</v>
      </c>
      <c r="V11">
        <f ca="1"/>
        <v>0</v>
      </c>
      <c r="W11">
        <f ca="1"/>
        <v>129</v>
      </c>
      <c r="X11" t="str">
        <f t="shared" ca="1" si="0"/>
        <v>CARD</v>
      </c>
      <c r="Y11">
        <v>9</v>
      </c>
      <c r="AK11" t="s">
        <v>259</v>
      </c>
      <c r="AL11" t="s">
        <v>67</v>
      </c>
      <c r="AM11">
        <v>9</v>
      </c>
      <c r="AN11">
        <f ca="1">SUMIF(Drivers!$B$11:$B$222,"*-"&amp;Constructors!$AL11&amp;"-*",Drivers!C$11:C$222)</f>
        <v>8</v>
      </c>
      <c r="AO11">
        <f ca="1">SUMIF(Drivers!$B$11:$B$222,"*-"&amp;Constructors!$AL11&amp;"-*",Drivers!D$11:D$222)</f>
        <v>14</v>
      </c>
      <c r="AQ11">
        <f ca="1">SUMIF(Drivers!$B$11:$B$222,"*-"&amp;Constructors!$AL11&amp;"-*",Drivers!E$11:E$222)</f>
        <v>30</v>
      </c>
      <c r="AR11">
        <f ca="1">SUMIF(Drivers!$B$11:$B$222,"*-"&amp;Constructors!$AL11&amp;"-*",Drivers!F$11:F$222)</f>
        <v>0</v>
      </c>
      <c r="AS11">
        <f ca="1">SUMIF(Drivers!$B$11:$B$222,"*-"&amp;Constructors!$AL11&amp;"-*",Drivers!G$11:G$222)</f>
        <v>0</v>
      </c>
      <c r="AT11">
        <f ca="1">SUMIF(Drivers!$B$11:$B$222,"*-"&amp;Constructors!$AL11&amp;"-*",Drivers!H$11:H$222)</f>
        <v>0</v>
      </c>
      <c r="AV11">
        <f ca="1">SUMIF(Drivers!$B$11:$B$222,"*-"&amp;Constructors!$AL11&amp;"-*",Drivers!I$11:I$222)</f>
        <v>0</v>
      </c>
      <c r="AW11">
        <f ca="1">SUMIF(Drivers!$B$11:$B$222,"*-"&amp;Constructors!$AL11&amp;"-*",Drivers!J$11:J$222)</f>
        <v>0</v>
      </c>
      <c r="AY11">
        <f ca="1">SUMIF(Drivers!$B$11:$B$222,"*-"&amp;Constructors!$AL11&amp;"-*",Drivers!K$11:K$222)</f>
        <v>0</v>
      </c>
      <c r="AZ11">
        <f ca="1">SUMIF(Drivers!$B$11:$B$222,"*-"&amp;Constructors!$AL11&amp;"-*",Drivers!L$11:L$222)</f>
        <v>0</v>
      </c>
      <c r="BB11">
        <f ca="1">SUMIF(Drivers!$B$11:$B$222,"*-"&amp;Constructors!$AL11&amp;"-*",Drivers!M$11:M$222)</f>
        <v>0</v>
      </c>
      <c r="BC11">
        <f ca="1">SUMIF(Drivers!$B$11:$B$222,"*-"&amp;Constructors!$AL11&amp;"-*",Drivers!N$11:N$222)</f>
        <v>0</v>
      </c>
      <c r="BE11">
        <f ca="1">SUMIF(Drivers!$B$11:$B$222,"*-"&amp;Constructors!$AL11&amp;"-*",Drivers!O$11:O$222)</f>
        <v>0</v>
      </c>
      <c r="BF11">
        <f ca="1">SUMIF(Drivers!$B$11:$B$222,"*-"&amp;Constructors!$AL11&amp;"-*",Drivers!P$11:P$222)</f>
        <v>0</v>
      </c>
      <c r="BG11">
        <f t="shared" ca="1" si="1"/>
        <v>52</v>
      </c>
    </row>
    <row r="12" spans="1:59" x14ac:dyDescent="0.25">
      <c r="A12" t="str">
        <f ca="1"/>
        <v>Team Bath Racing Electric</v>
      </c>
      <c r="B12" t="str">
        <f ca="1"/>
        <v>BATH</v>
      </c>
      <c r="C12">
        <f ca="1"/>
        <v>43</v>
      </c>
      <c r="D12">
        <f ca="1"/>
        <v>26</v>
      </c>
      <c r="E12">
        <f ca="1"/>
        <v>34</v>
      </c>
      <c r="F12">
        <f ca="1"/>
        <v>0</v>
      </c>
      <c r="G12">
        <f ca="1"/>
        <v>26</v>
      </c>
      <c r="H12">
        <f ca="1"/>
        <v>38</v>
      </c>
      <c r="I12">
        <f ca="1"/>
        <v>0</v>
      </c>
      <c r="J12">
        <f ca="1"/>
        <v>0</v>
      </c>
      <c r="K12">
        <f ca="1"/>
        <v>0</v>
      </c>
      <c r="L12">
        <f ca="1"/>
        <v>0</v>
      </c>
      <c r="M12">
        <f ca="1"/>
        <v>0</v>
      </c>
      <c r="N12">
        <f ca="1"/>
        <v>0</v>
      </c>
      <c r="O12">
        <f ca="1"/>
        <v>0</v>
      </c>
      <c r="P12">
        <f ca="1"/>
        <v>0</v>
      </c>
      <c r="Q12">
        <f ca="1"/>
        <v>0</v>
      </c>
      <c r="R12">
        <f ca="1"/>
        <v>0</v>
      </c>
      <c r="S12">
        <f ca="1"/>
        <v>0</v>
      </c>
      <c r="T12">
        <f ca="1"/>
        <v>0</v>
      </c>
      <c r="U12">
        <f ca="1"/>
        <v>0</v>
      </c>
      <c r="V12">
        <f ca="1"/>
        <v>0</v>
      </c>
      <c r="W12">
        <f ca="1"/>
        <v>124</v>
      </c>
      <c r="X12" t="str">
        <f t="shared" ca="1" si="0"/>
        <v>BATH</v>
      </c>
      <c r="Y12">
        <v>10</v>
      </c>
      <c r="AK12" t="s">
        <v>25</v>
      </c>
      <c r="AL12" t="s">
        <v>68</v>
      </c>
      <c r="AM12">
        <v>10</v>
      </c>
      <c r="AN12">
        <f ca="1">SUMIF(Drivers!$B$11:$B$222,"*-"&amp;Constructors!$AL12&amp;"-*",Drivers!C$11:C$222)</f>
        <v>0</v>
      </c>
      <c r="AO12">
        <f ca="1">SUMIF(Drivers!$B$11:$B$222,"*-"&amp;Constructors!$AL12&amp;"-*",Drivers!D$11:D$222)</f>
        <v>0</v>
      </c>
      <c r="AQ12">
        <f ca="1">SUMIF(Drivers!$B$11:$B$222,"*-"&amp;Constructors!$AL12&amp;"-*",Drivers!E$11:E$222)</f>
        <v>11</v>
      </c>
      <c r="AR12">
        <f ca="1">SUMIF(Drivers!$B$11:$B$222,"*-"&amp;Constructors!$AL12&amp;"-*",Drivers!F$11:F$222)</f>
        <v>20</v>
      </c>
      <c r="AS12">
        <f ca="1">SUMIF(Drivers!$B$11:$B$222,"*-"&amp;Constructors!$AL12&amp;"-*",Drivers!G$11:G$222)</f>
        <v>0</v>
      </c>
      <c r="AT12">
        <f ca="1">SUMIF(Drivers!$B$11:$B$222,"*-"&amp;Constructors!$AL12&amp;"-*",Drivers!H$11:H$222)</f>
        <v>0</v>
      </c>
      <c r="AV12">
        <f ca="1">SUMIF(Drivers!$B$11:$B$222,"*-"&amp;Constructors!$AL12&amp;"-*",Drivers!I$11:I$222)</f>
        <v>0</v>
      </c>
      <c r="AW12">
        <f ca="1">SUMIF(Drivers!$B$11:$B$222,"*-"&amp;Constructors!$AL12&amp;"-*",Drivers!J$11:J$222)</f>
        <v>0</v>
      </c>
      <c r="AY12">
        <f ca="1">SUMIF(Drivers!$B$11:$B$222,"*-"&amp;Constructors!$AL12&amp;"-*",Drivers!K$11:K$222)</f>
        <v>0</v>
      </c>
      <c r="AZ12">
        <f ca="1">SUMIF(Drivers!$B$11:$B$222,"*-"&amp;Constructors!$AL12&amp;"-*",Drivers!L$11:L$222)</f>
        <v>0</v>
      </c>
      <c r="BB12">
        <f ca="1">SUMIF(Drivers!$B$11:$B$222,"*-"&amp;Constructors!$AL12&amp;"-*",Drivers!M$11:M$222)</f>
        <v>0</v>
      </c>
      <c r="BC12">
        <f ca="1">SUMIF(Drivers!$B$11:$B$222,"*-"&amp;Constructors!$AL12&amp;"-*",Drivers!N$11:N$222)</f>
        <v>0</v>
      </c>
      <c r="BE12">
        <f ca="1">SUMIF(Drivers!$B$11:$B$222,"*-"&amp;Constructors!$AL12&amp;"-*",Drivers!O$11:O$222)</f>
        <v>0</v>
      </c>
      <c r="BF12">
        <f ca="1">SUMIF(Drivers!$B$11:$B$222,"*-"&amp;Constructors!$AL12&amp;"-*",Drivers!P$11:P$222)</f>
        <v>0</v>
      </c>
      <c r="BG12">
        <f t="shared" ca="1" si="1"/>
        <v>31</v>
      </c>
    </row>
    <row r="13" spans="1:59" x14ac:dyDescent="0.25">
      <c r="A13" t="str">
        <f ca="1"/>
        <v>oRgeyd Bird Racing</v>
      </c>
      <c r="B13" t="str">
        <f ca="1"/>
        <v>RBRT</v>
      </c>
      <c r="C13">
        <f ca="1"/>
        <v>41</v>
      </c>
      <c r="D13">
        <f ca="1"/>
        <v>15</v>
      </c>
      <c r="E13">
        <f ca="1"/>
        <v>32</v>
      </c>
      <c r="F13">
        <f ca="1"/>
        <v>20</v>
      </c>
      <c r="G13">
        <f ca="1"/>
        <v>16</v>
      </c>
      <c r="H13">
        <f ca="1"/>
        <v>26</v>
      </c>
      <c r="I13">
        <f ca="1"/>
        <v>0</v>
      </c>
      <c r="J13">
        <f ca="1"/>
        <v>0</v>
      </c>
      <c r="K13">
        <f ca="1"/>
        <v>0</v>
      </c>
      <c r="L13">
        <f ca="1"/>
        <v>0</v>
      </c>
      <c r="M13">
        <f ca="1"/>
        <v>0</v>
      </c>
      <c r="N13">
        <f ca="1"/>
        <v>0</v>
      </c>
      <c r="O13">
        <f ca="1"/>
        <v>0</v>
      </c>
      <c r="P13">
        <f ca="1"/>
        <v>0</v>
      </c>
      <c r="Q13">
        <f ca="1"/>
        <v>0</v>
      </c>
      <c r="R13">
        <f ca="1"/>
        <v>0</v>
      </c>
      <c r="S13">
        <f ca="1"/>
        <v>0</v>
      </c>
      <c r="T13">
        <f ca="1"/>
        <v>0</v>
      </c>
      <c r="U13">
        <f ca="1"/>
        <v>0</v>
      </c>
      <c r="V13">
        <f ca="1"/>
        <v>0</v>
      </c>
      <c r="W13">
        <f ca="1"/>
        <v>109</v>
      </c>
      <c r="X13" t="str">
        <f t="shared" ca="1" si="0"/>
        <v>RBRT</v>
      </c>
      <c r="Y13">
        <v>11</v>
      </c>
      <c r="AK13" t="s">
        <v>260</v>
      </c>
      <c r="AL13" t="s">
        <v>71</v>
      </c>
      <c r="AM13">
        <v>11</v>
      </c>
      <c r="AN13">
        <f ca="1">SUMIF(Drivers!$B$11:$B$222,"*-"&amp;Constructors!$AL13&amp;"-*",Drivers!C$11:C$222)</f>
        <v>12</v>
      </c>
      <c r="AO13">
        <f ca="1">SUMIF(Drivers!$B$11:$B$222,"*-"&amp;Constructors!$AL13&amp;"-*",Drivers!D$11:D$222)</f>
        <v>14</v>
      </c>
      <c r="AQ13">
        <f ca="1">SUMIF(Drivers!$B$11:$B$222,"*-"&amp;Constructors!$AL13&amp;"-*",Drivers!E$11:E$222)</f>
        <v>0</v>
      </c>
      <c r="AR13">
        <f ca="1">SUMIF(Drivers!$B$11:$B$222,"*-"&amp;Constructors!$AL13&amp;"-*",Drivers!F$11:F$222)</f>
        <v>0</v>
      </c>
      <c r="AS13">
        <f ca="1">SUMIF(Drivers!$B$11:$B$222,"*-"&amp;Constructors!$AL13&amp;"-*",Drivers!G$11:G$222)</f>
        <v>0</v>
      </c>
      <c r="AT13">
        <f ca="1">SUMIF(Drivers!$B$11:$B$222,"*-"&amp;Constructors!$AL13&amp;"-*",Drivers!H$11:H$222)</f>
        <v>0</v>
      </c>
      <c r="AV13">
        <f ca="1">SUMIF(Drivers!$B$11:$B$222,"*-"&amp;Constructors!$AL13&amp;"-*",Drivers!I$11:I$222)</f>
        <v>0</v>
      </c>
      <c r="AW13">
        <f ca="1">SUMIF(Drivers!$B$11:$B$222,"*-"&amp;Constructors!$AL13&amp;"-*",Drivers!J$11:J$222)</f>
        <v>0</v>
      </c>
      <c r="AY13">
        <f ca="1">SUMIF(Drivers!$B$11:$B$222,"*-"&amp;Constructors!$AL13&amp;"-*",Drivers!K$11:K$222)</f>
        <v>0</v>
      </c>
      <c r="AZ13">
        <f ca="1">SUMIF(Drivers!$B$11:$B$222,"*-"&amp;Constructors!$AL13&amp;"-*",Drivers!L$11:L$222)</f>
        <v>0</v>
      </c>
      <c r="BB13">
        <f ca="1">SUMIF(Drivers!$B$11:$B$222,"*-"&amp;Constructors!$AL13&amp;"-*",Drivers!M$11:M$222)</f>
        <v>0</v>
      </c>
      <c r="BC13">
        <f ca="1">SUMIF(Drivers!$B$11:$B$222,"*-"&amp;Constructors!$AL13&amp;"-*",Drivers!N$11:N$222)</f>
        <v>0</v>
      </c>
      <c r="BE13">
        <f ca="1">SUMIF(Drivers!$B$11:$B$222,"*-"&amp;Constructors!$AL13&amp;"-*",Drivers!O$11:O$222)</f>
        <v>0</v>
      </c>
      <c r="BF13">
        <f ca="1">SUMIF(Drivers!$B$11:$B$222,"*-"&amp;Constructors!$AL13&amp;"-*",Drivers!P$11:P$222)</f>
        <v>0</v>
      </c>
      <c r="BG13">
        <f t="shared" ca="1" si="1"/>
        <v>26</v>
      </c>
    </row>
    <row r="14" spans="1:59" x14ac:dyDescent="0.25">
      <c r="A14" t="str">
        <f ca="1"/>
        <v>MTU Formula Student</v>
      </c>
      <c r="B14" t="str">
        <f ca="1"/>
        <v>MTU</v>
      </c>
      <c r="C14">
        <f ca="1"/>
        <v>36</v>
      </c>
      <c r="D14">
        <f ca="1"/>
        <v>14</v>
      </c>
      <c r="E14">
        <f ca="1"/>
        <v>19</v>
      </c>
      <c r="F14">
        <f ca="1"/>
        <v>20</v>
      </c>
      <c r="G14">
        <f ca="1"/>
        <v>32</v>
      </c>
      <c r="H14">
        <f ca="1"/>
        <v>18</v>
      </c>
      <c r="I14">
        <f ca="1"/>
        <v>0</v>
      </c>
      <c r="J14">
        <f ca="1"/>
        <v>0</v>
      </c>
      <c r="K14">
        <f ca="1"/>
        <v>0</v>
      </c>
      <c r="L14">
        <f ca="1"/>
        <v>0</v>
      </c>
      <c r="M14">
        <f ca="1"/>
        <v>0</v>
      </c>
      <c r="N14">
        <f ca="1"/>
        <v>0</v>
      </c>
      <c r="O14">
        <f ca="1"/>
        <v>0</v>
      </c>
      <c r="P14">
        <f ca="1"/>
        <v>0</v>
      </c>
      <c r="Q14">
        <f ca="1"/>
        <v>0</v>
      </c>
      <c r="R14">
        <f ca="1"/>
        <v>0</v>
      </c>
      <c r="S14">
        <f ca="1"/>
        <v>0</v>
      </c>
      <c r="T14">
        <f ca="1"/>
        <v>0</v>
      </c>
      <c r="U14">
        <f ca="1"/>
        <v>0</v>
      </c>
      <c r="V14">
        <f ca="1"/>
        <v>0</v>
      </c>
      <c r="W14">
        <f ca="1"/>
        <v>103</v>
      </c>
      <c r="X14" t="str">
        <f t="shared" ca="1" si="0"/>
        <v>MTU</v>
      </c>
      <c r="Y14">
        <v>12</v>
      </c>
      <c r="AK14" t="s">
        <v>261</v>
      </c>
      <c r="AL14" t="s">
        <v>74</v>
      </c>
      <c r="AM14">
        <v>12</v>
      </c>
      <c r="AN14">
        <f ca="1">SUMIF(Drivers!$B$11:$B$222,"*-"&amp;Constructors!$AL14&amp;"-*",Drivers!C$11:C$222)</f>
        <v>1</v>
      </c>
      <c r="AO14">
        <f ca="1">SUMIF(Drivers!$B$11:$B$222,"*-"&amp;Constructors!$AL14&amp;"-*",Drivers!D$11:D$222)</f>
        <v>0</v>
      </c>
      <c r="AQ14">
        <f ca="1">SUMIF(Drivers!$B$11:$B$222,"*-"&amp;Constructors!$AL14&amp;"-*",Drivers!E$11:E$222)</f>
        <v>0</v>
      </c>
      <c r="AR14">
        <f ca="1">SUMIF(Drivers!$B$11:$B$222,"*-"&amp;Constructors!$AL14&amp;"-*",Drivers!F$11:F$222)</f>
        <v>15</v>
      </c>
      <c r="AS14">
        <f ca="1">SUMIF(Drivers!$B$11:$B$222,"*-"&amp;Constructors!$AL14&amp;"-*",Drivers!G$11:G$222)</f>
        <v>0</v>
      </c>
      <c r="AT14">
        <f ca="1">SUMIF(Drivers!$B$11:$B$222,"*-"&amp;Constructors!$AL14&amp;"-*",Drivers!H$11:H$222)</f>
        <v>0</v>
      </c>
      <c r="AV14">
        <f ca="1">SUMIF(Drivers!$B$11:$B$222,"*-"&amp;Constructors!$AL14&amp;"-*",Drivers!I$11:I$222)</f>
        <v>0</v>
      </c>
      <c r="AW14">
        <f ca="1">SUMIF(Drivers!$B$11:$B$222,"*-"&amp;Constructors!$AL14&amp;"-*",Drivers!J$11:J$222)</f>
        <v>0</v>
      </c>
      <c r="AY14">
        <f ca="1">SUMIF(Drivers!$B$11:$B$222,"*-"&amp;Constructors!$AL14&amp;"-*",Drivers!K$11:K$222)</f>
        <v>0</v>
      </c>
      <c r="AZ14">
        <f ca="1">SUMIF(Drivers!$B$11:$B$222,"*-"&amp;Constructors!$AL14&amp;"-*",Drivers!L$11:L$222)</f>
        <v>0</v>
      </c>
      <c r="BB14">
        <f ca="1">SUMIF(Drivers!$B$11:$B$222,"*-"&amp;Constructors!$AL14&amp;"-*",Drivers!M$11:M$222)</f>
        <v>0</v>
      </c>
      <c r="BC14">
        <f ca="1">SUMIF(Drivers!$B$11:$B$222,"*-"&amp;Constructors!$AL14&amp;"-*",Drivers!N$11:N$222)</f>
        <v>0</v>
      </c>
      <c r="BE14">
        <f ca="1">SUMIF(Drivers!$B$11:$B$222,"*-"&amp;Constructors!$AL14&amp;"-*",Drivers!O$11:O$222)</f>
        <v>0</v>
      </c>
      <c r="BF14">
        <f ca="1">SUMIF(Drivers!$B$11:$B$222,"*-"&amp;Constructors!$AL14&amp;"-*",Drivers!P$11:P$222)</f>
        <v>0</v>
      </c>
      <c r="BG14">
        <f t="shared" ca="1" si="1"/>
        <v>16</v>
      </c>
    </row>
    <row r="15" spans="1:59" x14ac:dyDescent="0.25">
      <c r="A15" t="str">
        <f ca="1"/>
        <v>Queen Mary Formula Student</v>
      </c>
      <c r="B15" t="str">
        <f ca="1"/>
        <v>QMFS</v>
      </c>
      <c r="C15">
        <f ca="1"/>
        <v>51</v>
      </c>
      <c r="D15">
        <f ca="1"/>
        <v>2</v>
      </c>
      <c r="E15">
        <f ca="1"/>
        <v>38</v>
      </c>
      <c r="F15">
        <f ca="1"/>
        <v>30</v>
      </c>
      <c r="G15">
        <f ca="1"/>
        <v>12</v>
      </c>
      <c r="H15">
        <f ca="1"/>
        <v>18</v>
      </c>
      <c r="I15">
        <f ca="1"/>
        <v>0</v>
      </c>
      <c r="J15">
        <f ca="1"/>
        <v>0</v>
      </c>
      <c r="K15">
        <f ca="1"/>
        <v>0</v>
      </c>
      <c r="L15">
        <f ca="1"/>
        <v>0</v>
      </c>
      <c r="M15">
        <f ca="1"/>
        <v>0</v>
      </c>
      <c r="N15">
        <f ca="1"/>
        <v>0</v>
      </c>
      <c r="O15">
        <f ca="1"/>
        <v>0</v>
      </c>
      <c r="P15">
        <f ca="1"/>
        <v>0</v>
      </c>
      <c r="Q15">
        <f ca="1"/>
        <v>0</v>
      </c>
      <c r="R15">
        <f ca="1"/>
        <v>0</v>
      </c>
      <c r="S15">
        <f ca="1"/>
        <v>0</v>
      </c>
      <c r="T15">
        <f ca="1"/>
        <v>0</v>
      </c>
      <c r="U15">
        <f ca="1"/>
        <v>0</v>
      </c>
      <c r="V15">
        <f ca="1"/>
        <v>0</v>
      </c>
      <c r="W15">
        <f ca="1"/>
        <v>100</v>
      </c>
      <c r="X15" t="str">
        <f t="shared" ca="1" si="0"/>
        <v>QMFS</v>
      </c>
      <c r="Y15">
        <v>13</v>
      </c>
      <c r="AK15" t="s">
        <v>262</v>
      </c>
      <c r="AL15" t="s">
        <v>76</v>
      </c>
      <c r="AM15">
        <v>13</v>
      </c>
      <c r="AN15">
        <f ca="1">SUMIF(Drivers!$B$11:$B$222,"*-"&amp;Constructors!$AL15&amp;"-*",Drivers!C$11:C$222)</f>
        <v>0</v>
      </c>
      <c r="AO15">
        <f ca="1">SUMIF(Drivers!$B$11:$B$222,"*-"&amp;Constructors!$AL15&amp;"-*",Drivers!D$11:D$222)</f>
        <v>0</v>
      </c>
      <c r="AQ15">
        <f ca="1">SUMIF(Drivers!$B$11:$B$222,"*-"&amp;Constructors!$AL15&amp;"-*",Drivers!E$11:E$222)</f>
        <v>0</v>
      </c>
      <c r="AR15">
        <f ca="1">SUMIF(Drivers!$B$11:$B$222,"*-"&amp;Constructors!$AL15&amp;"-*",Drivers!F$11:F$222)</f>
        <v>0</v>
      </c>
      <c r="AS15">
        <f ca="1">SUMIF(Drivers!$B$11:$B$222,"*-"&amp;Constructors!$AL15&amp;"-*",Drivers!G$11:G$222)</f>
        <v>0</v>
      </c>
      <c r="AT15">
        <f ca="1">SUMIF(Drivers!$B$11:$B$222,"*-"&amp;Constructors!$AL15&amp;"-*",Drivers!H$11:H$222)</f>
        <v>0</v>
      </c>
      <c r="AV15">
        <f ca="1">SUMIF(Drivers!$B$11:$B$222,"*-"&amp;Constructors!$AL15&amp;"-*",Drivers!I$11:I$222)</f>
        <v>0</v>
      </c>
      <c r="AW15">
        <f ca="1">SUMIF(Drivers!$B$11:$B$222,"*-"&amp;Constructors!$AL15&amp;"-*",Drivers!J$11:J$222)</f>
        <v>0</v>
      </c>
      <c r="AY15">
        <f ca="1">SUMIF(Drivers!$B$11:$B$222,"*-"&amp;Constructors!$AL15&amp;"-*",Drivers!K$11:K$222)</f>
        <v>0</v>
      </c>
      <c r="AZ15">
        <f ca="1">SUMIF(Drivers!$B$11:$B$222,"*-"&amp;Constructors!$AL15&amp;"-*",Drivers!L$11:L$222)</f>
        <v>0</v>
      </c>
      <c r="BB15">
        <f ca="1">SUMIF(Drivers!$B$11:$B$222,"*-"&amp;Constructors!$AL15&amp;"-*",Drivers!M$11:M$222)</f>
        <v>0</v>
      </c>
      <c r="BC15">
        <f ca="1">SUMIF(Drivers!$B$11:$B$222,"*-"&amp;Constructors!$AL15&amp;"-*",Drivers!N$11:N$222)</f>
        <v>0</v>
      </c>
      <c r="BE15">
        <f ca="1">SUMIF(Drivers!$B$11:$B$222,"*-"&amp;Constructors!$AL15&amp;"-*",Drivers!O$11:O$222)</f>
        <v>0</v>
      </c>
      <c r="BF15">
        <f ca="1">SUMIF(Drivers!$B$11:$B$222,"*-"&amp;Constructors!$AL15&amp;"-*",Drivers!P$11:P$222)</f>
        <v>0</v>
      </c>
      <c r="BG15">
        <f t="shared" ca="1" si="1"/>
        <v>0</v>
      </c>
    </row>
    <row r="16" spans="1:59" x14ac:dyDescent="0.25">
      <c r="A16" t="str">
        <f ca="1"/>
        <v>LJMU e-Racing</v>
      </c>
      <c r="B16" t="str">
        <f ca="1"/>
        <v>LJMU</v>
      </c>
      <c r="C16">
        <f ca="1"/>
        <v>50</v>
      </c>
      <c r="D16">
        <f ca="1"/>
        <v>0</v>
      </c>
      <c r="E16">
        <f ca="1"/>
        <v>24</v>
      </c>
      <c r="F16">
        <f ca="1"/>
        <v>0</v>
      </c>
      <c r="G16">
        <f ca="1"/>
        <v>40</v>
      </c>
      <c r="H16">
        <f ca="1"/>
        <v>30</v>
      </c>
      <c r="I16">
        <f ca="1"/>
        <v>0</v>
      </c>
      <c r="J16">
        <f ca="1"/>
        <v>0</v>
      </c>
      <c r="K16">
        <f ca="1"/>
        <v>0</v>
      </c>
      <c r="L16">
        <f ca="1"/>
        <v>0</v>
      </c>
      <c r="M16">
        <f ca="1"/>
        <v>0</v>
      </c>
      <c r="N16">
        <f ca="1"/>
        <v>0</v>
      </c>
      <c r="O16">
        <f ca="1"/>
        <v>0</v>
      </c>
      <c r="P16">
        <f ca="1"/>
        <v>0</v>
      </c>
      <c r="Q16">
        <f ca="1"/>
        <v>0</v>
      </c>
      <c r="R16">
        <f ca="1"/>
        <v>0</v>
      </c>
      <c r="S16">
        <f ca="1"/>
        <v>0</v>
      </c>
      <c r="T16">
        <f ca="1"/>
        <v>0</v>
      </c>
      <c r="U16">
        <f ca="1"/>
        <v>0</v>
      </c>
      <c r="V16">
        <f ca="1"/>
        <v>0</v>
      </c>
      <c r="W16">
        <f ca="1"/>
        <v>94</v>
      </c>
      <c r="X16" t="str">
        <f t="shared" ca="1" si="0"/>
        <v>LJMU</v>
      </c>
      <c r="Y16">
        <v>14</v>
      </c>
      <c r="AK16" t="s">
        <v>263</v>
      </c>
      <c r="AL16" t="s">
        <v>79</v>
      </c>
      <c r="AM16">
        <v>14</v>
      </c>
      <c r="AN16">
        <f ca="1">SUMIF(Drivers!$B$11:$B$222,"*-"&amp;Constructors!$AL16&amp;"-*",Drivers!C$11:C$222)</f>
        <v>5</v>
      </c>
      <c r="AO16">
        <f ca="1">SUMIF(Drivers!$B$11:$B$222,"*-"&amp;Constructors!$AL16&amp;"-*",Drivers!D$11:D$222)</f>
        <v>19</v>
      </c>
      <c r="AP16">
        <v>0</v>
      </c>
      <c r="AQ16">
        <f ca="1">SUMIF(Drivers!$B$11:$B$222,"*-"&amp;Constructors!$AL16&amp;"-*",Drivers!E$11:E$222)</f>
        <v>14</v>
      </c>
      <c r="AR16">
        <f ca="1">SUMIF(Drivers!$B$11:$B$222,"*-"&amp;Constructors!$AL16&amp;"-*",Drivers!F$11:F$222)</f>
        <v>17</v>
      </c>
      <c r="AS16">
        <f ca="1">SUMIF(Drivers!$B$11:$B$222,"*-"&amp;Constructors!$AL16&amp;"-*",Drivers!G$11:G$222)</f>
        <v>0</v>
      </c>
      <c r="AT16">
        <f ca="1">SUMIF(Drivers!$B$11:$B$222,"*-"&amp;Constructors!$AL16&amp;"-*",Drivers!H$11:H$222)</f>
        <v>0</v>
      </c>
      <c r="AV16">
        <f ca="1">SUMIF(Drivers!$B$11:$B$222,"*-"&amp;Constructors!$AL16&amp;"-*",Drivers!I$11:I$222)</f>
        <v>0</v>
      </c>
      <c r="AW16">
        <f ca="1">SUMIF(Drivers!$B$11:$B$222,"*-"&amp;Constructors!$AL16&amp;"-*",Drivers!J$11:J$222)</f>
        <v>0</v>
      </c>
      <c r="AY16">
        <f ca="1">SUMIF(Drivers!$B$11:$B$222,"*-"&amp;Constructors!$AL16&amp;"-*",Drivers!K$11:K$222)</f>
        <v>0</v>
      </c>
      <c r="AZ16">
        <f ca="1">SUMIF(Drivers!$B$11:$B$222,"*-"&amp;Constructors!$AL16&amp;"-*",Drivers!L$11:L$222)</f>
        <v>0</v>
      </c>
      <c r="BB16">
        <f ca="1">SUMIF(Drivers!$B$11:$B$222,"*-"&amp;Constructors!$AL16&amp;"-*",Drivers!M$11:M$222)</f>
        <v>0</v>
      </c>
      <c r="BC16">
        <f ca="1">SUMIF(Drivers!$B$11:$B$222,"*-"&amp;Constructors!$AL16&amp;"-*",Drivers!N$11:N$222)</f>
        <v>0</v>
      </c>
      <c r="BE16">
        <f ca="1">SUMIF(Drivers!$B$11:$B$222,"*-"&amp;Constructors!$AL16&amp;"-*",Drivers!O$11:O$222)</f>
        <v>0</v>
      </c>
      <c r="BF16">
        <f ca="1">SUMIF(Drivers!$B$11:$B$222,"*-"&amp;Constructors!$AL16&amp;"-*",Drivers!P$11:P$222)</f>
        <v>0</v>
      </c>
      <c r="BG16">
        <f t="shared" ca="1" si="1"/>
        <v>55</v>
      </c>
    </row>
    <row r="17" spans="1:59" x14ac:dyDescent="0.25">
      <c r="A17" t="str">
        <f ca="1"/>
        <v>XRacing Exeter</v>
      </c>
      <c r="B17" t="str">
        <f ca="1"/>
        <v>EXET</v>
      </c>
      <c r="C17">
        <f ca="1"/>
        <v>38</v>
      </c>
      <c r="D17">
        <f ca="1"/>
        <v>36</v>
      </c>
      <c r="E17">
        <f ca="1"/>
        <v>8</v>
      </c>
      <c r="F17">
        <f ca="1"/>
        <v>0</v>
      </c>
      <c r="G17">
        <f ca="1"/>
        <v>20</v>
      </c>
      <c r="H17">
        <f ca="1"/>
        <v>24</v>
      </c>
      <c r="I17">
        <f ca="1"/>
        <v>0</v>
      </c>
      <c r="J17">
        <f ca="1"/>
        <v>0</v>
      </c>
      <c r="K17">
        <f ca="1"/>
        <v>0</v>
      </c>
      <c r="L17">
        <f ca="1"/>
        <v>0</v>
      </c>
      <c r="M17">
        <f ca="1"/>
        <v>0</v>
      </c>
      <c r="N17">
        <f ca="1"/>
        <v>0</v>
      </c>
      <c r="O17">
        <f ca="1"/>
        <v>0</v>
      </c>
      <c r="P17">
        <f ca="1"/>
        <v>0</v>
      </c>
      <c r="Q17">
        <f ca="1"/>
        <v>0</v>
      </c>
      <c r="R17">
        <f ca="1"/>
        <v>0</v>
      </c>
      <c r="S17">
        <f ca="1"/>
        <v>0</v>
      </c>
      <c r="T17">
        <f ca="1"/>
        <v>0</v>
      </c>
      <c r="U17">
        <f ca="1"/>
        <v>0</v>
      </c>
      <c r="V17">
        <f ca="1"/>
        <v>0</v>
      </c>
      <c r="W17">
        <f ca="1"/>
        <v>88</v>
      </c>
      <c r="X17" t="str">
        <f t="shared" ca="1" si="0"/>
        <v>EXET</v>
      </c>
      <c r="Y17">
        <v>15</v>
      </c>
      <c r="Z17">
        <v>1</v>
      </c>
      <c r="AK17" t="s">
        <v>264</v>
      </c>
      <c r="AL17" t="s">
        <v>84</v>
      </c>
      <c r="AM17">
        <v>15</v>
      </c>
      <c r="AN17">
        <f ca="1">SUMIF(Drivers!$B$11:$B$222,"*-"&amp;Constructors!$AL17&amp;"-*",Drivers!C$11:C$222)</f>
        <v>5</v>
      </c>
      <c r="AO17">
        <f ca="1">SUMIF(Drivers!$B$11:$B$222,"*-"&amp;Constructors!$AL17&amp;"-*",Drivers!D$11:D$222)</f>
        <v>20</v>
      </c>
      <c r="AQ17">
        <f ca="1">SUMIF(Drivers!$B$11:$B$222,"*-"&amp;Constructors!$AL17&amp;"-*",Drivers!E$11:E$222)</f>
        <v>0</v>
      </c>
      <c r="AR17">
        <f ca="1">SUMIF(Drivers!$B$11:$B$222,"*-"&amp;Constructors!$AL17&amp;"-*",Drivers!F$11:F$222)</f>
        <v>0</v>
      </c>
      <c r="AS17">
        <f ca="1">SUMIF(Drivers!$B$11:$B$222,"*-"&amp;Constructors!$AL17&amp;"-*",Drivers!G$11:G$222)</f>
        <v>0</v>
      </c>
      <c r="AT17">
        <f ca="1">SUMIF(Drivers!$B$11:$B$222,"*-"&amp;Constructors!$AL17&amp;"-*",Drivers!H$11:H$222)</f>
        <v>0</v>
      </c>
      <c r="AV17">
        <f ca="1">SUMIF(Drivers!$B$11:$B$222,"*-"&amp;Constructors!$AL17&amp;"-*",Drivers!I$11:I$222)</f>
        <v>0</v>
      </c>
      <c r="AW17">
        <f ca="1">SUMIF(Drivers!$B$11:$B$222,"*-"&amp;Constructors!$AL17&amp;"-*",Drivers!J$11:J$222)</f>
        <v>0</v>
      </c>
      <c r="AY17">
        <f ca="1">SUMIF(Drivers!$B$11:$B$222,"*-"&amp;Constructors!$AL17&amp;"-*",Drivers!K$11:K$222)</f>
        <v>0</v>
      </c>
      <c r="AZ17">
        <f ca="1">SUMIF(Drivers!$B$11:$B$222,"*-"&amp;Constructors!$AL17&amp;"-*",Drivers!L$11:L$222)</f>
        <v>0</v>
      </c>
      <c r="BB17">
        <f ca="1">SUMIF(Drivers!$B$11:$B$222,"*-"&amp;Constructors!$AL17&amp;"-*",Drivers!M$11:M$222)</f>
        <v>0</v>
      </c>
      <c r="BC17">
        <f ca="1">SUMIF(Drivers!$B$11:$B$222,"*-"&amp;Constructors!$AL17&amp;"-*",Drivers!N$11:N$222)</f>
        <v>0</v>
      </c>
      <c r="BE17">
        <f ca="1">SUMIF(Drivers!$B$11:$B$222,"*-"&amp;Constructors!$AL17&amp;"-*",Drivers!O$11:O$222)</f>
        <v>0</v>
      </c>
      <c r="BF17">
        <f ca="1">SUMIF(Drivers!$B$11:$B$222,"*-"&amp;Constructors!$AL17&amp;"-*",Drivers!P$11:P$222)</f>
        <v>0</v>
      </c>
      <c r="BG17">
        <f t="shared" ca="1" si="1"/>
        <v>25</v>
      </c>
    </row>
    <row r="18" spans="1:59" x14ac:dyDescent="0.25">
      <c r="A18" t="str">
        <f ca="1"/>
        <v>UWTSD Sim Racing Team</v>
      </c>
      <c r="B18" t="str">
        <f ca="1"/>
        <v>UWTSD</v>
      </c>
      <c r="C18">
        <f ca="1"/>
        <v>5</v>
      </c>
      <c r="D18">
        <f ca="1"/>
        <v>16</v>
      </c>
      <c r="E18">
        <f ca="1"/>
        <v>40</v>
      </c>
      <c r="F18">
        <f ca="1"/>
        <v>0</v>
      </c>
      <c r="G18">
        <f ca="1"/>
        <v>24</v>
      </c>
      <c r="H18">
        <f ca="1"/>
        <v>7</v>
      </c>
      <c r="I18">
        <f ca="1"/>
        <v>0</v>
      </c>
      <c r="J18">
        <f ca="1"/>
        <v>0</v>
      </c>
      <c r="K18">
        <f ca="1"/>
        <v>0</v>
      </c>
      <c r="L18">
        <f ca="1"/>
        <v>0</v>
      </c>
      <c r="M18">
        <f ca="1"/>
        <v>0</v>
      </c>
      <c r="N18">
        <f ca="1"/>
        <v>0</v>
      </c>
      <c r="O18">
        <f ca="1"/>
        <v>0</v>
      </c>
      <c r="P18">
        <f ca="1"/>
        <v>0</v>
      </c>
      <c r="Q18">
        <f ca="1"/>
        <v>0</v>
      </c>
      <c r="R18">
        <f ca="1"/>
        <v>0</v>
      </c>
      <c r="S18">
        <f ca="1"/>
        <v>0</v>
      </c>
      <c r="T18">
        <f ca="1"/>
        <v>0</v>
      </c>
      <c r="U18">
        <f ca="1"/>
        <v>0</v>
      </c>
      <c r="V18">
        <f ca="1"/>
        <v>0</v>
      </c>
      <c r="W18">
        <f ca="1"/>
        <v>87</v>
      </c>
      <c r="X18" t="str">
        <f t="shared" ca="1" si="0"/>
        <v>UWTSD</v>
      </c>
      <c r="Y18">
        <v>16</v>
      </c>
      <c r="AK18" t="s">
        <v>265</v>
      </c>
      <c r="AL18" t="s">
        <v>90</v>
      </c>
      <c r="AM18">
        <v>16</v>
      </c>
      <c r="AN18">
        <f ca="1">SUMIF(Drivers!$B$11:$B$222,"*-"&amp;Constructors!$AL18&amp;"-*",Drivers!C$11:C$222)</f>
        <v>20</v>
      </c>
      <c r="AO18">
        <f ca="1">SUMIF(Drivers!$B$11:$B$222,"*-"&amp;Constructors!$AL18&amp;"-*",Drivers!D$11:D$222)</f>
        <v>5</v>
      </c>
      <c r="AP18">
        <v>0</v>
      </c>
      <c r="AQ18">
        <f ca="1">SUMIF(Drivers!$B$11:$B$222,"*-"&amp;Constructors!$AL18&amp;"-*",Drivers!E$11:E$222)</f>
        <v>14</v>
      </c>
      <c r="AR18">
        <f ca="1">SUMIF(Drivers!$B$11:$B$222,"*-"&amp;Constructors!$AL18&amp;"-*",Drivers!F$11:F$222)</f>
        <v>14</v>
      </c>
      <c r="AS18">
        <f ca="1">SUMIF(Drivers!$B$11:$B$222,"*-"&amp;Constructors!$AL18&amp;"-*",Drivers!G$11:G$222)</f>
        <v>0</v>
      </c>
      <c r="AT18">
        <f ca="1">SUMIF(Drivers!$B$11:$B$222,"*-"&amp;Constructors!$AL18&amp;"-*",Drivers!H$11:H$222)</f>
        <v>0</v>
      </c>
      <c r="AV18">
        <f ca="1">SUMIF(Drivers!$B$11:$B$222,"*-"&amp;Constructors!$AL18&amp;"-*",Drivers!I$11:I$222)</f>
        <v>0</v>
      </c>
      <c r="AW18">
        <f ca="1">SUMIF(Drivers!$B$11:$B$222,"*-"&amp;Constructors!$AL18&amp;"-*",Drivers!J$11:J$222)</f>
        <v>0</v>
      </c>
      <c r="AY18">
        <f ca="1">SUMIF(Drivers!$B$11:$B$222,"*-"&amp;Constructors!$AL18&amp;"-*",Drivers!K$11:K$222)</f>
        <v>0</v>
      </c>
      <c r="AZ18">
        <f ca="1">SUMIF(Drivers!$B$11:$B$222,"*-"&amp;Constructors!$AL18&amp;"-*",Drivers!L$11:L$222)</f>
        <v>0</v>
      </c>
      <c r="BB18">
        <f ca="1">SUMIF(Drivers!$B$11:$B$222,"*-"&amp;Constructors!$AL18&amp;"-*",Drivers!M$11:M$222)</f>
        <v>0</v>
      </c>
      <c r="BC18">
        <f ca="1">SUMIF(Drivers!$B$11:$B$222,"*-"&amp;Constructors!$AL18&amp;"-*",Drivers!N$11:N$222)</f>
        <v>0</v>
      </c>
      <c r="BE18">
        <f ca="1">SUMIF(Drivers!$B$11:$B$222,"*-"&amp;Constructors!$AL18&amp;"-*",Drivers!O$11:O$222)</f>
        <v>0</v>
      </c>
      <c r="BF18">
        <f ca="1">SUMIF(Drivers!$B$11:$B$222,"*-"&amp;Constructors!$AL18&amp;"-*",Drivers!P$11:P$222)</f>
        <v>0</v>
      </c>
      <c r="BG18">
        <f t="shared" ca="1" si="1"/>
        <v>53</v>
      </c>
    </row>
    <row r="19" spans="1:59" x14ac:dyDescent="0.25">
      <c r="A19" t="str">
        <f ca="1"/>
        <v>Staffordshire Uni Racing</v>
      </c>
      <c r="B19" t="str">
        <f ca="1"/>
        <v>STAF</v>
      </c>
      <c r="C19">
        <f ca="1"/>
        <v>21</v>
      </c>
      <c r="D19">
        <f ca="1"/>
        <v>22</v>
      </c>
      <c r="E19">
        <f ca="1"/>
        <v>0</v>
      </c>
      <c r="F19">
        <f ca="1"/>
        <v>20</v>
      </c>
      <c r="G19">
        <f ca="1"/>
        <v>28</v>
      </c>
      <c r="H19">
        <f ca="1"/>
        <v>16</v>
      </c>
      <c r="I19">
        <f ca="1"/>
        <v>0</v>
      </c>
      <c r="J19">
        <f ca="1"/>
        <v>0</v>
      </c>
      <c r="K19">
        <f ca="1"/>
        <v>0</v>
      </c>
      <c r="L19">
        <f ca="1"/>
        <v>0</v>
      </c>
      <c r="M19">
        <f ca="1"/>
        <v>0</v>
      </c>
      <c r="N19">
        <f ca="1"/>
        <v>0</v>
      </c>
      <c r="O19">
        <f ca="1"/>
        <v>0</v>
      </c>
      <c r="P19">
        <f ca="1"/>
        <v>0</v>
      </c>
      <c r="Q19">
        <f ca="1"/>
        <v>0</v>
      </c>
      <c r="R19">
        <f ca="1"/>
        <v>0</v>
      </c>
      <c r="S19">
        <f ca="1"/>
        <v>0</v>
      </c>
      <c r="T19">
        <f ca="1"/>
        <v>0</v>
      </c>
      <c r="U19">
        <f ca="1"/>
        <v>0</v>
      </c>
      <c r="V19">
        <f ca="1"/>
        <v>0</v>
      </c>
      <c r="W19">
        <f ca="1"/>
        <v>86</v>
      </c>
      <c r="X19" t="str">
        <f t="shared" ca="1" si="0"/>
        <v>STAF</v>
      </c>
      <c r="Y19">
        <v>17</v>
      </c>
      <c r="AK19" t="s">
        <v>266</v>
      </c>
      <c r="AL19" t="s">
        <v>93</v>
      </c>
      <c r="AM19">
        <v>17</v>
      </c>
      <c r="AN19">
        <f ca="1">SUMIF(Drivers!$B$11:$B$222,"*-"&amp;Constructors!$AL19&amp;"-*",Drivers!C$11:C$222)</f>
        <v>3</v>
      </c>
      <c r="AO19">
        <f ca="1">SUMIF(Drivers!$B$11:$B$222,"*-"&amp;Constructors!$AL19&amp;"-*",Drivers!D$11:D$222)</f>
        <v>12</v>
      </c>
      <c r="AP19">
        <v>38</v>
      </c>
      <c r="AQ19">
        <f ca="1">SUMIF(Drivers!$B$11:$B$222,"*-"&amp;Constructors!$AL19&amp;"-*",Drivers!E$11:E$222)</f>
        <v>1</v>
      </c>
      <c r="AR19">
        <f ca="1">SUMIF(Drivers!$B$11:$B$222,"*-"&amp;Constructors!$AL19&amp;"-*",Drivers!F$11:F$222)</f>
        <v>0</v>
      </c>
      <c r="AS19">
        <f ca="1">SUMIF(Drivers!$B$11:$B$222,"*-"&amp;Constructors!$AL19&amp;"-*",Drivers!G$11:G$222)</f>
        <v>0</v>
      </c>
      <c r="AT19">
        <f ca="1">SUMIF(Drivers!$B$11:$B$222,"*-"&amp;Constructors!$AL19&amp;"-*",Drivers!H$11:H$222)</f>
        <v>0</v>
      </c>
      <c r="AV19">
        <f ca="1">SUMIF(Drivers!$B$11:$B$222,"*-"&amp;Constructors!$AL19&amp;"-*",Drivers!I$11:I$222)</f>
        <v>0</v>
      </c>
      <c r="AW19">
        <f ca="1">SUMIF(Drivers!$B$11:$B$222,"*-"&amp;Constructors!$AL19&amp;"-*",Drivers!J$11:J$222)</f>
        <v>0</v>
      </c>
      <c r="AY19">
        <f ca="1">SUMIF(Drivers!$B$11:$B$222,"*-"&amp;Constructors!$AL19&amp;"-*",Drivers!K$11:K$222)</f>
        <v>0</v>
      </c>
      <c r="AZ19">
        <f ca="1">SUMIF(Drivers!$B$11:$B$222,"*-"&amp;Constructors!$AL19&amp;"-*",Drivers!L$11:L$222)</f>
        <v>0</v>
      </c>
      <c r="BB19">
        <f ca="1">SUMIF(Drivers!$B$11:$B$222,"*-"&amp;Constructors!$AL19&amp;"-*",Drivers!M$11:M$222)</f>
        <v>0</v>
      </c>
      <c r="BC19">
        <f ca="1">SUMIF(Drivers!$B$11:$B$222,"*-"&amp;Constructors!$AL19&amp;"-*",Drivers!N$11:N$222)</f>
        <v>0</v>
      </c>
      <c r="BE19">
        <f ca="1">SUMIF(Drivers!$B$11:$B$222,"*-"&amp;Constructors!$AL19&amp;"-*",Drivers!O$11:O$222)</f>
        <v>0</v>
      </c>
      <c r="BF19">
        <f ca="1">SUMIF(Drivers!$B$11:$B$222,"*-"&amp;Constructors!$AL19&amp;"-*",Drivers!P$11:P$222)</f>
        <v>0</v>
      </c>
      <c r="BG19">
        <f t="shared" ca="1" si="1"/>
        <v>54</v>
      </c>
    </row>
    <row r="20" spans="1:59" x14ac:dyDescent="0.25">
      <c r="A20" t="str">
        <f ca="1"/>
        <v>Jorvik Racing</v>
      </c>
      <c r="B20" t="str">
        <f ca="1"/>
        <v>YORKA</v>
      </c>
      <c r="C20">
        <f ca="1"/>
        <v>19</v>
      </c>
      <c r="D20">
        <f ca="1"/>
        <v>26</v>
      </c>
      <c r="E20">
        <f ca="1"/>
        <v>10</v>
      </c>
      <c r="F20">
        <f ca="1"/>
        <v>26</v>
      </c>
      <c r="G20">
        <f ca="1"/>
        <v>16</v>
      </c>
      <c r="H20">
        <f ca="1"/>
        <v>5</v>
      </c>
      <c r="I20">
        <f ca="1"/>
        <v>0</v>
      </c>
      <c r="J20">
        <f ca="1"/>
        <v>0</v>
      </c>
      <c r="K20">
        <f ca="1"/>
        <v>0</v>
      </c>
      <c r="L20">
        <f ca="1"/>
        <v>0</v>
      </c>
      <c r="M20">
        <f ca="1"/>
        <v>0</v>
      </c>
      <c r="N20">
        <f ca="1"/>
        <v>0</v>
      </c>
      <c r="O20">
        <f ca="1"/>
        <v>0</v>
      </c>
      <c r="P20">
        <f ca="1"/>
        <v>0</v>
      </c>
      <c r="Q20">
        <f ca="1"/>
        <v>0</v>
      </c>
      <c r="R20">
        <f ca="1"/>
        <v>0</v>
      </c>
      <c r="S20">
        <f ca="1"/>
        <v>0</v>
      </c>
      <c r="T20">
        <f ca="1"/>
        <v>0</v>
      </c>
      <c r="U20">
        <f ca="1"/>
        <v>0</v>
      </c>
      <c r="V20">
        <f ca="1"/>
        <v>0</v>
      </c>
      <c r="W20">
        <f ca="1"/>
        <v>83</v>
      </c>
      <c r="X20" t="str">
        <f t="shared" ca="1" si="0"/>
        <v>YORKA</v>
      </c>
      <c r="Y20">
        <v>18</v>
      </c>
      <c r="Z20">
        <v>1</v>
      </c>
      <c r="AK20" t="s">
        <v>267</v>
      </c>
      <c r="AL20" t="s">
        <v>99</v>
      </c>
      <c r="AM20">
        <v>18</v>
      </c>
      <c r="AN20">
        <f ca="1">SUMIF(Drivers!$B$11:$B$222,"*-"&amp;Constructors!$AL20&amp;"-*",Drivers!C$11:C$222)</f>
        <v>19</v>
      </c>
      <c r="AO20">
        <f ca="1">SUMIF(Drivers!$B$11:$B$222,"*-"&amp;Constructors!$AL20&amp;"-*",Drivers!D$11:D$222)</f>
        <v>0</v>
      </c>
      <c r="AQ20">
        <f ca="1">SUMIF(Drivers!$B$11:$B$222,"*-"&amp;Constructors!$AL20&amp;"-*",Drivers!E$11:E$222)</f>
        <v>6</v>
      </c>
      <c r="AR20">
        <f ca="1">SUMIF(Drivers!$B$11:$B$222,"*-"&amp;Constructors!$AL20&amp;"-*",Drivers!F$11:F$222)</f>
        <v>0</v>
      </c>
      <c r="AS20">
        <f ca="1">SUMIF(Drivers!$B$11:$B$222,"*-"&amp;Constructors!$AL20&amp;"-*",Drivers!G$11:G$222)</f>
        <v>0</v>
      </c>
      <c r="AT20">
        <f ca="1">SUMIF(Drivers!$B$11:$B$222,"*-"&amp;Constructors!$AL20&amp;"-*",Drivers!H$11:H$222)</f>
        <v>0</v>
      </c>
      <c r="AV20">
        <f ca="1">SUMIF(Drivers!$B$11:$B$222,"*-"&amp;Constructors!$AL20&amp;"-*",Drivers!I$11:I$222)</f>
        <v>0</v>
      </c>
      <c r="AW20">
        <f ca="1">SUMIF(Drivers!$B$11:$B$222,"*-"&amp;Constructors!$AL20&amp;"-*",Drivers!J$11:J$222)</f>
        <v>0</v>
      </c>
      <c r="AY20">
        <f ca="1">SUMIF(Drivers!$B$11:$B$222,"*-"&amp;Constructors!$AL20&amp;"-*",Drivers!K$11:K$222)</f>
        <v>0</v>
      </c>
      <c r="AZ20">
        <f ca="1">SUMIF(Drivers!$B$11:$B$222,"*-"&amp;Constructors!$AL20&amp;"-*",Drivers!L$11:L$222)</f>
        <v>0</v>
      </c>
      <c r="BB20">
        <f ca="1">SUMIF(Drivers!$B$11:$B$222,"*-"&amp;Constructors!$AL20&amp;"-*",Drivers!M$11:M$222)</f>
        <v>0</v>
      </c>
      <c r="BC20">
        <f ca="1">SUMIF(Drivers!$B$11:$B$222,"*-"&amp;Constructors!$AL20&amp;"-*",Drivers!N$11:N$222)</f>
        <v>0</v>
      </c>
      <c r="BE20">
        <f ca="1">SUMIF(Drivers!$B$11:$B$222,"*-"&amp;Constructors!$AL20&amp;"-*",Drivers!O$11:O$222)</f>
        <v>0</v>
      </c>
      <c r="BF20">
        <f ca="1">SUMIF(Drivers!$B$11:$B$222,"*-"&amp;Constructors!$AL20&amp;"-*",Drivers!P$11:P$222)</f>
        <v>0</v>
      </c>
      <c r="BG20">
        <f t="shared" ca="1" si="1"/>
        <v>25</v>
      </c>
    </row>
    <row r="21" spans="1:59" x14ac:dyDescent="0.25">
      <c r="A21" t="str">
        <f ca="1"/>
        <v>UB Racing</v>
      </c>
      <c r="B21" t="str">
        <f ca="1"/>
        <v>UBR</v>
      </c>
      <c r="C21">
        <f ca="1"/>
        <v>31</v>
      </c>
      <c r="D21">
        <f ca="1"/>
        <v>14</v>
      </c>
      <c r="E21">
        <f ca="1"/>
        <v>0</v>
      </c>
      <c r="F21">
        <f ca="1"/>
        <v>34</v>
      </c>
      <c r="G21">
        <f ca="1"/>
        <v>18</v>
      </c>
      <c r="H21">
        <f ca="1"/>
        <v>14</v>
      </c>
      <c r="I21">
        <f ca="1"/>
        <v>0</v>
      </c>
      <c r="J21">
        <f ca="1"/>
        <v>0</v>
      </c>
      <c r="K21">
        <f ca="1"/>
        <v>0</v>
      </c>
      <c r="L21">
        <f ca="1"/>
        <v>0</v>
      </c>
      <c r="M21">
        <f ca="1"/>
        <v>0</v>
      </c>
      <c r="N21">
        <f ca="1"/>
        <v>0</v>
      </c>
      <c r="O21">
        <f ca="1"/>
        <v>0</v>
      </c>
      <c r="P21">
        <f ca="1"/>
        <v>0</v>
      </c>
      <c r="Q21">
        <f ca="1"/>
        <v>0</v>
      </c>
      <c r="R21">
        <f ca="1"/>
        <v>0</v>
      </c>
      <c r="S21">
        <f ca="1"/>
        <v>0</v>
      </c>
      <c r="T21">
        <f ca="1"/>
        <v>0</v>
      </c>
      <c r="U21">
        <f ca="1"/>
        <v>0</v>
      </c>
      <c r="V21">
        <f ca="1"/>
        <v>0</v>
      </c>
      <c r="W21">
        <f ca="1"/>
        <v>80</v>
      </c>
      <c r="X21" t="str">
        <f t="shared" ca="1" si="0"/>
        <v>UBR</v>
      </c>
      <c r="Y21">
        <v>19</v>
      </c>
      <c r="AK21" t="s">
        <v>268</v>
      </c>
      <c r="AL21" t="s">
        <v>102</v>
      </c>
      <c r="AM21">
        <v>19</v>
      </c>
      <c r="AN21">
        <f ca="1">SUMIF(Drivers!$B$11:$B$222,"*-"&amp;Constructors!$AL21&amp;"-*",Drivers!C$11:C$222)</f>
        <v>26</v>
      </c>
      <c r="AO21">
        <f ca="1">SUMIF(Drivers!$B$11:$B$222,"*-"&amp;Constructors!$AL21&amp;"-*",Drivers!D$11:D$222)</f>
        <v>10</v>
      </c>
      <c r="AP21">
        <v>26</v>
      </c>
      <c r="AQ21">
        <f ca="1">SUMIF(Drivers!$B$11:$B$222,"*-"&amp;Constructors!$AL21&amp;"-*",Drivers!E$11:E$222)</f>
        <v>16</v>
      </c>
      <c r="AR21">
        <f ca="1">SUMIF(Drivers!$B$11:$B$222,"*-"&amp;Constructors!$AL21&amp;"-*",Drivers!F$11:F$222)</f>
        <v>5</v>
      </c>
      <c r="AS21">
        <f ca="1">SUMIF(Drivers!$B$11:$B$222,"*-"&amp;Constructors!$AL21&amp;"-*",Drivers!G$11:G$222)</f>
        <v>0</v>
      </c>
      <c r="AT21">
        <f ca="1">SUMIF(Drivers!$B$11:$B$222,"*-"&amp;Constructors!$AL21&amp;"-*",Drivers!H$11:H$222)</f>
        <v>0</v>
      </c>
      <c r="AV21">
        <f ca="1">SUMIF(Drivers!$B$11:$B$222,"*-"&amp;Constructors!$AL21&amp;"-*",Drivers!I$11:I$222)</f>
        <v>0</v>
      </c>
      <c r="AW21">
        <f ca="1">SUMIF(Drivers!$B$11:$B$222,"*-"&amp;Constructors!$AL21&amp;"-*",Drivers!J$11:J$222)</f>
        <v>0</v>
      </c>
      <c r="AY21">
        <f ca="1">SUMIF(Drivers!$B$11:$B$222,"*-"&amp;Constructors!$AL21&amp;"-*",Drivers!K$11:K$222)</f>
        <v>0</v>
      </c>
      <c r="AZ21">
        <f ca="1">SUMIF(Drivers!$B$11:$B$222,"*-"&amp;Constructors!$AL21&amp;"-*",Drivers!L$11:L$222)</f>
        <v>0</v>
      </c>
      <c r="BB21">
        <f ca="1">SUMIF(Drivers!$B$11:$B$222,"*-"&amp;Constructors!$AL21&amp;"-*",Drivers!M$11:M$222)</f>
        <v>0</v>
      </c>
      <c r="BC21">
        <f ca="1">SUMIF(Drivers!$B$11:$B$222,"*-"&amp;Constructors!$AL21&amp;"-*",Drivers!N$11:N$222)</f>
        <v>0</v>
      </c>
      <c r="BE21">
        <f ca="1">SUMIF(Drivers!$B$11:$B$222,"*-"&amp;Constructors!$AL21&amp;"-*",Drivers!O$11:O$222)</f>
        <v>0</v>
      </c>
      <c r="BF21">
        <f ca="1">SUMIF(Drivers!$B$11:$B$222,"*-"&amp;Constructors!$AL21&amp;"-*",Drivers!P$11:P$222)</f>
        <v>0</v>
      </c>
      <c r="BG21">
        <f t="shared" ca="1" si="1"/>
        <v>83</v>
      </c>
    </row>
    <row r="22" spans="1:59" x14ac:dyDescent="0.25">
      <c r="A22" t="str">
        <f ca="1"/>
        <v>HERT B</v>
      </c>
      <c r="B22" t="str">
        <f ca="1"/>
        <v>HULLB</v>
      </c>
      <c r="C22">
        <f ca="1"/>
        <v>23</v>
      </c>
      <c r="D22">
        <f ca="1"/>
        <v>33</v>
      </c>
      <c r="E22">
        <f ca="1"/>
        <v>31</v>
      </c>
      <c r="F22">
        <f ca="1"/>
        <v>0</v>
      </c>
      <c r="G22">
        <f ca="1"/>
        <v>15</v>
      </c>
      <c r="H22">
        <f ca="1"/>
        <v>0</v>
      </c>
      <c r="I22">
        <f ca="1"/>
        <v>0</v>
      </c>
      <c r="J22">
        <f ca="1"/>
        <v>0</v>
      </c>
      <c r="K22">
        <f ca="1"/>
        <v>0</v>
      </c>
      <c r="L22">
        <f ca="1"/>
        <v>0</v>
      </c>
      <c r="M22">
        <f ca="1"/>
        <v>0</v>
      </c>
      <c r="N22">
        <f ca="1"/>
        <v>0</v>
      </c>
      <c r="O22">
        <f ca="1"/>
        <v>0</v>
      </c>
      <c r="P22">
        <f ca="1"/>
        <v>0</v>
      </c>
      <c r="Q22">
        <f ca="1"/>
        <v>0</v>
      </c>
      <c r="R22">
        <f ca="1"/>
        <v>0</v>
      </c>
      <c r="S22">
        <f ca="1"/>
        <v>0</v>
      </c>
      <c r="T22">
        <f ca="1"/>
        <v>0</v>
      </c>
      <c r="U22">
        <f ca="1"/>
        <v>0</v>
      </c>
      <c r="V22">
        <f ca="1"/>
        <v>0</v>
      </c>
      <c r="W22">
        <f ca="1"/>
        <v>79</v>
      </c>
      <c r="X22" t="str">
        <f t="shared" ca="1" si="0"/>
        <v>HULLB</v>
      </c>
      <c r="Y22">
        <v>20</v>
      </c>
      <c r="AK22" t="s">
        <v>269</v>
      </c>
      <c r="AL22" t="s">
        <v>109</v>
      </c>
      <c r="AM22">
        <v>20</v>
      </c>
      <c r="AN22">
        <f ca="1">SUMIF(Drivers!$B$11:$B$222,"*-"&amp;Constructors!$AL22&amp;"-*",Drivers!C$11:C$222)</f>
        <v>10</v>
      </c>
      <c r="AO22">
        <f ca="1">SUMIF(Drivers!$B$11:$B$222,"*-"&amp;Constructors!$AL22&amp;"-*",Drivers!D$11:D$222)</f>
        <v>0</v>
      </c>
      <c r="AP22">
        <v>20</v>
      </c>
      <c r="AQ22">
        <f ca="1">SUMIF(Drivers!$B$11:$B$222,"*-"&amp;Constructors!$AL22&amp;"-*",Drivers!E$11:E$222)</f>
        <v>0</v>
      </c>
      <c r="AR22">
        <f ca="1">SUMIF(Drivers!$B$11:$B$222,"*-"&amp;Constructors!$AL22&amp;"-*",Drivers!F$11:F$222)</f>
        <v>4</v>
      </c>
      <c r="AS22">
        <f ca="1">SUMIF(Drivers!$B$11:$B$222,"*-"&amp;Constructors!$AL22&amp;"-*",Drivers!G$11:G$222)</f>
        <v>0</v>
      </c>
      <c r="AT22">
        <f ca="1">SUMIF(Drivers!$B$11:$B$222,"*-"&amp;Constructors!$AL22&amp;"-*",Drivers!H$11:H$222)</f>
        <v>0</v>
      </c>
      <c r="AV22">
        <f ca="1">SUMIF(Drivers!$B$11:$B$222,"*-"&amp;Constructors!$AL22&amp;"-*",Drivers!I$11:I$222)</f>
        <v>0</v>
      </c>
      <c r="AW22">
        <f ca="1">SUMIF(Drivers!$B$11:$B$222,"*-"&amp;Constructors!$AL22&amp;"-*",Drivers!J$11:J$222)</f>
        <v>0</v>
      </c>
      <c r="AY22">
        <f ca="1">SUMIF(Drivers!$B$11:$B$222,"*-"&amp;Constructors!$AL22&amp;"-*",Drivers!K$11:K$222)</f>
        <v>0</v>
      </c>
      <c r="AZ22">
        <f ca="1">SUMIF(Drivers!$B$11:$B$222,"*-"&amp;Constructors!$AL22&amp;"-*",Drivers!L$11:L$222)</f>
        <v>0</v>
      </c>
      <c r="BB22">
        <f ca="1">SUMIF(Drivers!$B$11:$B$222,"*-"&amp;Constructors!$AL22&amp;"-*",Drivers!M$11:M$222)</f>
        <v>0</v>
      </c>
      <c r="BC22">
        <f ca="1">SUMIF(Drivers!$B$11:$B$222,"*-"&amp;Constructors!$AL22&amp;"-*",Drivers!N$11:N$222)</f>
        <v>0</v>
      </c>
      <c r="BE22">
        <f ca="1">SUMIF(Drivers!$B$11:$B$222,"*-"&amp;Constructors!$AL22&amp;"-*",Drivers!O$11:O$222)</f>
        <v>0</v>
      </c>
      <c r="BF22">
        <f ca="1">SUMIF(Drivers!$B$11:$B$222,"*-"&amp;Constructors!$AL22&amp;"-*",Drivers!P$11:P$222)</f>
        <v>0</v>
      </c>
      <c r="BG22">
        <f t="shared" ca="1" si="1"/>
        <v>34</v>
      </c>
    </row>
    <row r="23" spans="1:59" x14ac:dyDescent="0.25">
      <c r="A23" t="str">
        <f ca="1"/>
        <v>USM</v>
      </c>
      <c r="B23" t="str">
        <f ca="1"/>
        <v>USM</v>
      </c>
      <c r="C23">
        <f ca="1"/>
        <v>7</v>
      </c>
      <c r="D23">
        <f ca="1"/>
        <v>22</v>
      </c>
      <c r="E23">
        <f ca="1"/>
        <v>20</v>
      </c>
      <c r="F23">
        <f ca="1"/>
        <v>36</v>
      </c>
      <c r="G23">
        <f ca="1"/>
        <v>0</v>
      </c>
      <c r="H23">
        <f ca="1"/>
        <v>0</v>
      </c>
      <c r="I23">
        <f ca="1"/>
        <v>0</v>
      </c>
      <c r="J23">
        <f ca="1"/>
        <v>0</v>
      </c>
      <c r="K23">
        <f ca="1"/>
        <v>0</v>
      </c>
      <c r="L23">
        <f ca="1"/>
        <v>0</v>
      </c>
      <c r="M23">
        <f ca="1"/>
        <v>0</v>
      </c>
      <c r="N23">
        <f ca="1"/>
        <v>0</v>
      </c>
      <c r="O23">
        <f ca="1"/>
        <v>0</v>
      </c>
      <c r="P23">
        <f ca="1"/>
        <v>0</v>
      </c>
      <c r="Q23">
        <f ca="1"/>
        <v>0</v>
      </c>
      <c r="R23">
        <f ca="1"/>
        <v>0</v>
      </c>
      <c r="S23">
        <f ca="1"/>
        <v>0</v>
      </c>
      <c r="T23">
        <f ca="1"/>
        <v>0</v>
      </c>
      <c r="U23">
        <f ca="1"/>
        <v>0</v>
      </c>
      <c r="V23">
        <f ca="1"/>
        <v>0</v>
      </c>
      <c r="W23">
        <f ca="1"/>
        <v>78</v>
      </c>
      <c r="X23" t="str">
        <f t="shared" ca="1" si="0"/>
        <v>USM</v>
      </c>
      <c r="Y23">
        <v>21</v>
      </c>
      <c r="AK23" t="s">
        <v>270</v>
      </c>
      <c r="AL23" t="s">
        <v>115</v>
      </c>
      <c r="AM23">
        <v>21</v>
      </c>
      <c r="AN23">
        <f ca="1">SUMIF(Drivers!$B$11:$B$222,"*-"&amp;Constructors!$AL23&amp;"-*",Drivers!C$11:C$222)</f>
        <v>22</v>
      </c>
      <c r="AO23">
        <f ca="1">SUMIF(Drivers!$B$11:$B$222,"*-"&amp;Constructors!$AL23&amp;"-*",Drivers!D$11:D$222)</f>
        <v>0</v>
      </c>
      <c r="AP23">
        <v>20</v>
      </c>
      <c r="AQ23">
        <f ca="1">SUMIF(Drivers!$B$11:$B$222,"*-"&amp;Constructors!$AL23&amp;"-*",Drivers!E$11:E$222)</f>
        <v>28</v>
      </c>
      <c r="AR23">
        <f ca="1">SUMIF(Drivers!$B$11:$B$222,"*-"&amp;Constructors!$AL23&amp;"-*",Drivers!F$11:F$222)</f>
        <v>16</v>
      </c>
      <c r="AS23">
        <f ca="1">SUMIF(Drivers!$B$11:$B$222,"*-"&amp;Constructors!$AL23&amp;"-*",Drivers!G$11:G$222)</f>
        <v>0</v>
      </c>
      <c r="AT23">
        <f ca="1">SUMIF(Drivers!$B$11:$B$222,"*-"&amp;Constructors!$AL23&amp;"-*",Drivers!H$11:H$222)</f>
        <v>0</v>
      </c>
      <c r="AV23">
        <f ca="1">SUMIF(Drivers!$B$11:$B$222,"*-"&amp;Constructors!$AL23&amp;"-*",Drivers!I$11:I$222)</f>
        <v>0</v>
      </c>
      <c r="AW23">
        <f ca="1">SUMIF(Drivers!$B$11:$B$222,"*-"&amp;Constructors!$AL23&amp;"-*",Drivers!J$11:J$222)</f>
        <v>0</v>
      </c>
      <c r="AY23">
        <f ca="1">SUMIF(Drivers!$B$11:$B$222,"*-"&amp;Constructors!$AL23&amp;"-*",Drivers!K$11:K$222)</f>
        <v>0</v>
      </c>
      <c r="AZ23">
        <f ca="1">SUMIF(Drivers!$B$11:$B$222,"*-"&amp;Constructors!$AL23&amp;"-*",Drivers!L$11:L$222)</f>
        <v>0</v>
      </c>
      <c r="BB23">
        <f ca="1">SUMIF(Drivers!$B$11:$B$222,"*-"&amp;Constructors!$AL23&amp;"-*",Drivers!M$11:M$222)</f>
        <v>0</v>
      </c>
      <c r="BC23">
        <f ca="1">SUMIF(Drivers!$B$11:$B$222,"*-"&amp;Constructors!$AL23&amp;"-*",Drivers!N$11:N$222)</f>
        <v>0</v>
      </c>
      <c r="BE23">
        <f ca="1">SUMIF(Drivers!$B$11:$B$222,"*-"&amp;Constructors!$AL23&amp;"-*",Drivers!O$11:O$222)</f>
        <v>0</v>
      </c>
      <c r="BF23">
        <f ca="1">SUMIF(Drivers!$B$11:$B$222,"*-"&amp;Constructors!$AL23&amp;"-*",Drivers!P$11:P$222)</f>
        <v>0</v>
      </c>
      <c r="BG23">
        <f t="shared" ca="1" si="1"/>
        <v>86</v>
      </c>
    </row>
    <row r="24" spans="1:59" x14ac:dyDescent="0.25">
      <c r="A24" t="str">
        <f ca="1"/>
        <v>UPRacing Electric</v>
      </c>
      <c r="B24" t="str">
        <f ca="1"/>
        <v>UPRE</v>
      </c>
      <c r="C24">
        <f ca="1"/>
        <v>24</v>
      </c>
      <c r="D24">
        <f ca="1"/>
        <v>24</v>
      </c>
      <c r="E24">
        <f ca="1"/>
        <v>16</v>
      </c>
      <c r="F24">
        <f ca="1"/>
        <v>0</v>
      </c>
      <c r="G24">
        <f ca="1"/>
        <v>21</v>
      </c>
      <c r="H24">
        <f ca="1"/>
        <v>16</v>
      </c>
      <c r="I24">
        <f ca="1"/>
        <v>0</v>
      </c>
      <c r="J24">
        <f ca="1"/>
        <v>0</v>
      </c>
      <c r="K24">
        <f ca="1"/>
        <v>0</v>
      </c>
      <c r="L24">
        <f ca="1"/>
        <v>0</v>
      </c>
      <c r="M24">
        <f ca="1"/>
        <v>0</v>
      </c>
      <c r="N24">
        <f ca="1"/>
        <v>0</v>
      </c>
      <c r="O24">
        <f ca="1"/>
        <v>0</v>
      </c>
      <c r="P24">
        <f ca="1"/>
        <v>0</v>
      </c>
      <c r="Q24">
        <f ca="1"/>
        <v>0</v>
      </c>
      <c r="R24">
        <f ca="1"/>
        <v>0</v>
      </c>
      <c r="S24">
        <f ca="1"/>
        <v>0</v>
      </c>
      <c r="T24">
        <f ca="1"/>
        <v>0</v>
      </c>
      <c r="U24">
        <f ca="1"/>
        <v>0</v>
      </c>
      <c r="V24">
        <f ca="1"/>
        <v>0</v>
      </c>
      <c r="W24">
        <f ca="1"/>
        <v>77</v>
      </c>
      <c r="X24" t="str">
        <f t="shared" ca="1" si="0"/>
        <v>UPRE</v>
      </c>
      <c r="Y24">
        <v>22</v>
      </c>
      <c r="AK24" t="s">
        <v>118</v>
      </c>
      <c r="AL24" t="s">
        <v>119</v>
      </c>
      <c r="AM24">
        <v>22</v>
      </c>
      <c r="AN24">
        <f ca="1">SUMIF(Drivers!$B$11:$B$222,"*-"&amp;Constructors!$AL24&amp;"-*",Drivers!C$11:C$222)</f>
        <v>0</v>
      </c>
      <c r="AO24">
        <f ca="1">SUMIF(Drivers!$B$11:$B$222,"*-"&amp;Constructors!$AL24&amp;"-*",Drivers!D$11:D$222)</f>
        <v>16</v>
      </c>
      <c r="AQ24">
        <f ca="1">SUMIF(Drivers!$B$11:$B$222,"*-"&amp;Constructors!$AL24&amp;"-*",Drivers!E$11:E$222)</f>
        <v>4</v>
      </c>
      <c r="AR24">
        <f ca="1">SUMIF(Drivers!$B$11:$B$222,"*-"&amp;Constructors!$AL24&amp;"-*",Drivers!F$11:F$222)</f>
        <v>3</v>
      </c>
      <c r="AS24">
        <f ca="1">SUMIF(Drivers!$B$11:$B$222,"*-"&amp;Constructors!$AL24&amp;"-*",Drivers!G$11:G$222)</f>
        <v>0</v>
      </c>
      <c r="AT24">
        <f ca="1">SUMIF(Drivers!$B$11:$B$222,"*-"&amp;Constructors!$AL24&amp;"-*",Drivers!H$11:H$222)</f>
        <v>0</v>
      </c>
      <c r="AV24">
        <f ca="1">SUMIF(Drivers!$B$11:$B$222,"*-"&amp;Constructors!$AL24&amp;"-*",Drivers!I$11:I$222)</f>
        <v>0</v>
      </c>
      <c r="AW24">
        <f ca="1">SUMIF(Drivers!$B$11:$B$222,"*-"&amp;Constructors!$AL24&amp;"-*",Drivers!J$11:J$222)</f>
        <v>0</v>
      </c>
      <c r="AY24">
        <f ca="1">SUMIF(Drivers!$B$11:$B$222,"*-"&amp;Constructors!$AL24&amp;"-*",Drivers!K$11:K$222)</f>
        <v>0</v>
      </c>
      <c r="AZ24">
        <f ca="1">SUMIF(Drivers!$B$11:$B$222,"*-"&amp;Constructors!$AL24&amp;"-*",Drivers!L$11:L$222)</f>
        <v>0</v>
      </c>
      <c r="BB24">
        <f ca="1">SUMIF(Drivers!$B$11:$B$222,"*-"&amp;Constructors!$AL24&amp;"-*",Drivers!M$11:M$222)</f>
        <v>0</v>
      </c>
      <c r="BC24">
        <f ca="1">SUMIF(Drivers!$B$11:$B$222,"*-"&amp;Constructors!$AL24&amp;"-*",Drivers!N$11:N$222)</f>
        <v>0</v>
      </c>
      <c r="BE24">
        <f ca="1">SUMIF(Drivers!$B$11:$B$222,"*-"&amp;Constructors!$AL24&amp;"-*",Drivers!O$11:O$222)</f>
        <v>0</v>
      </c>
      <c r="BF24">
        <f ca="1">SUMIF(Drivers!$B$11:$B$222,"*-"&amp;Constructors!$AL24&amp;"-*",Drivers!P$11:P$222)</f>
        <v>0</v>
      </c>
      <c r="BG24">
        <f t="shared" ca="1" si="1"/>
        <v>23</v>
      </c>
    </row>
    <row r="25" spans="1:59" x14ac:dyDescent="0.25">
      <c r="A25" t="str">
        <f ca="1"/>
        <v>UH Racing</v>
      </c>
      <c r="B25" t="str">
        <f ca="1"/>
        <v>HERTS</v>
      </c>
      <c r="C25">
        <f ca="1"/>
        <v>27</v>
      </c>
      <c r="D25">
        <f ca="1"/>
        <v>19</v>
      </c>
      <c r="E25">
        <f ca="1"/>
        <v>28</v>
      </c>
      <c r="F25">
        <f ca="1"/>
        <v>0</v>
      </c>
      <c r="G25">
        <f ca="1"/>
        <v>17</v>
      </c>
      <c r="H25">
        <f ca="1"/>
        <v>0</v>
      </c>
      <c r="I25">
        <f ca="1"/>
        <v>0</v>
      </c>
      <c r="J25">
        <f ca="1"/>
        <v>0</v>
      </c>
      <c r="K25">
        <f ca="1"/>
        <v>0</v>
      </c>
      <c r="L25">
        <f ca="1"/>
        <v>0</v>
      </c>
      <c r="M25">
        <f ca="1"/>
        <v>0</v>
      </c>
      <c r="N25">
        <f ca="1"/>
        <v>0</v>
      </c>
      <c r="O25">
        <f ca="1"/>
        <v>0</v>
      </c>
      <c r="P25">
        <f ca="1"/>
        <v>0</v>
      </c>
      <c r="Q25">
        <f ca="1"/>
        <v>0</v>
      </c>
      <c r="R25">
        <f ca="1"/>
        <v>0</v>
      </c>
      <c r="S25">
        <f ca="1"/>
        <v>0</v>
      </c>
      <c r="T25">
        <f ca="1"/>
        <v>0</v>
      </c>
      <c r="U25">
        <f ca="1"/>
        <v>0</v>
      </c>
      <c r="V25">
        <f ca="1"/>
        <v>0</v>
      </c>
      <c r="W25">
        <f ca="1"/>
        <v>64</v>
      </c>
      <c r="X25" t="str">
        <f t="shared" ca="1" si="0"/>
        <v>HERTS</v>
      </c>
      <c r="Y25">
        <v>23</v>
      </c>
      <c r="AK25" t="s">
        <v>271</v>
      </c>
      <c r="AL25" t="s">
        <v>122</v>
      </c>
      <c r="AM25">
        <v>23</v>
      </c>
      <c r="AN25">
        <f ca="1">SUMIF(Drivers!$B$11:$B$222,"*-"&amp;Constructors!$AL25&amp;"-*",Drivers!C$11:C$222)</f>
        <v>33</v>
      </c>
      <c r="AO25">
        <f ca="1">SUMIF(Drivers!$B$11:$B$222,"*-"&amp;Constructors!$AL25&amp;"-*",Drivers!D$11:D$222)</f>
        <v>31</v>
      </c>
      <c r="AQ25">
        <f ca="1">SUMIF(Drivers!$B$11:$B$222,"*-"&amp;Constructors!$AL25&amp;"-*",Drivers!E$11:E$222)</f>
        <v>15</v>
      </c>
      <c r="AR25">
        <f ca="1">SUMIF(Drivers!$B$11:$B$222,"*-"&amp;Constructors!$AL25&amp;"-*",Drivers!F$11:F$222)</f>
        <v>0</v>
      </c>
      <c r="AS25">
        <f ca="1">SUMIF(Drivers!$B$11:$B$222,"*-"&amp;Constructors!$AL25&amp;"-*",Drivers!G$11:G$222)</f>
        <v>0</v>
      </c>
      <c r="AT25">
        <f ca="1">SUMIF(Drivers!$B$11:$B$222,"*-"&amp;Constructors!$AL25&amp;"-*",Drivers!H$11:H$222)</f>
        <v>0</v>
      </c>
      <c r="AV25">
        <f ca="1">SUMIF(Drivers!$B$11:$B$222,"*-"&amp;Constructors!$AL25&amp;"-*",Drivers!I$11:I$222)</f>
        <v>0</v>
      </c>
      <c r="AW25">
        <f ca="1">SUMIF(Drivers!$B$11:$B$222,"*-"&amp;Constructors!$AL25&amp;"-*",Drivers!J$11:J$222)</f>
        <v>0</v>
      </c>
      <c r="AY25">
        <f ca="1">SUMIF(Drivers!$B$11:$B$222,"*-"&amp;Constructors!$AL25&amp;"-*",Drivers!K$11:K$222)</f>
        <v>0</v>
      </c>
      <c r="AZ25">
        <f ca="1">SUMIF(Drivers!$B$11:$B$222,"*-"&amp;Constructors!$AL25&amp;"-*",Drivers!L$11:L$222)</f>
        <v>0</v>
      </c>
      <c r="BB25">
        <f ca="1">SUMIF(Drivers!$B$11:$B$222,"*-"&amp;Constructors!$AL25&amp;"-*",Drivers!M$11:M$222)</f>
        <v>0</v>
      </c>
      <c r="BC25">
        <f ca="1">SUMIF(Drivers!$B$11:$B$222,"*-"&amp;Constructors!$AL25&amp;"-*",Drivers!N$11:N$222)</f>
        <v>0</v>
      </c>
      <c r="BE25">
        <f ca="1">SUMIF(Drivers!$B$11:$B$222,"*-"&amp;Constructors!$AL25&amp;"-*",Drivers!O$11:O$222)</f>
        <v>0</v>
      </c>
      <c r="BF25">
        <f ca="1">SUMIF(Drivers!$B$11:$B$222,"*-"&amp;Constructors!$AL25&amp;"-*",Drivers!P$11:P$222)</f>
        <v>0</v>
      </c>
      <c r="BG25">
        <f t="shared" ca="1" si="1"/>
        <v>79</v>
      </c>
    </row>
    <row r="26" spans="1:59" x14ac:dyDescent="0.25">
      <c r="A26" t="str">
        <f ca="1"/>
        <v>PolyU E-Formula Racing Team</v>
      </c>
      <c r="B26" t="str">
        <f ca="1"/>
        <v>POLYU</v>
      </c>
      <c r="C26">
        <f ca="1"/>
        <v>37</v>
      </c>
      <c r="D26">
        <f ca="1"/>
        <v>17</v>
      </c>
      <c r="E26">
        <f ca="1"/>
        <v>7</v>
      </c>
      <c r="F26">
        <f ca="1"/>
        <v>0</v>
      </c>
      <c r="G26">
        <f ca="1"/>
        <v>3</v>
      </c>
      <c r="H26">
        <f ca="1"/>
        <v>34</v>
      </c>
      <c r="I26">
        <f ca="1"/>
        <v>0</v>
      </c>
      <c r="J26">
        <f ca="1"/>
        <v>0</v>
      </c>
      <c r="K26">
        <f ca="1"/>
        <v>0</v>
      </c>
      <c r="L26">
        <f ca="1"/>
        <v>0</v>
      </c>
      <c r="M26">
        <f ca="1"/>
        <v>0</v>
      </c>
      <c r="N26">
        <f ca="1"/>
        <v>0</v>
      </c>
      <c r="O26">
        <f ca="1"/>
        <v>0</v>
      </c>
      <c r="P26">
        <f ca="1"/>
        <v>0</v>
      </c>
      <c r="Q26">
        <f ca="1"/>
        <v>0</v>
      </c>
      <c r="R26">
        <f ca="1"/>
        <v>0</v>
      </c>
      <c r="S26">
        <f ca="1"/>
        <v>0</v>
      </c>
      <c r="T26">
        <f ca="1"/>
        <v>0</v>
      </c>
      <c r="U26">
        <f ca="1"/>
        <v>0</v>
      </c>
      <c r="V26">
        <f ca="1"/>
        <v>0</v>
      </c>
      <c r="W26">
        <f ca="1"/>
        <v>61</v>
      </c>
      <c r="X26" t="str">
        <f t="shared" ca="1" si="0"/>
        <v>POLYU</v>
      </c>
      <c r="Y26">
        <v>24</v>
      </c>
      <c r="AK26" t="s">
        <v>272</v>
      </c>
      <c r="AL26" t="s">
        <v>128</v>
      </c>
      <c r="AM26">
        <v>24</v>
      </c>
      <c r="AN26">
        <f ca="1">SUMIF(Drivers!$B$11:$B$222,"*-"&amp;Constructors!$AL26&amp;"-*",Drivers!C$11:C$222)</f>
        <v>24</v>
      </c>
      <c r="AO26">
        <f ca="1">SUMIF(Drivers!$B$11:$B$222,"*-"&amp;Constructors!$AL26&amp;"-*",Drivers!D$11:D$222)</f>
        <v>16</v>
      </c>
      <c r="AQ26">
        <f ca="1">SUMIF(Drivers!$B$11:$B$222,"*-"&amp;Constructors!$AL26&amp;"-*",Drivers!E$11:E$222)</f>
        <v>21</v>
      </c>
      <c r="AR26">
        <f ca="1">SUMIF(Drivers!$B$11:$B$222,"*-"&amp;Constructors!$AL26&amp;"-*",Drivers!F$11:F$222)</f>
        <v>16</v>
      </c>
      <c r="AS26">
        <f ca="1">SUMIF(Drivers!$B$11:$B$222,"*-"&amp;Constructors!$AL26&amp;"-*",Drivers!G$11:G$222)</f>
        <v>0</v>
      </c>
      <c r="AT26">
        <f ca="1">SUMIF(Drivers!$B$11:$B$222,"*-"&amp;Constructors!$AL26&amp;"-*",Drivers!H$11:H$222)</f>
        <v>0</v>
      </c>
      <c r="AV26">
        <f ca="1">SUMIF(Drivers!$B$11:$B$222,"*-"&amp;Constructors!$AL26&amp;"-*",Drivers!I$11:I$222)</f>
        <v>0</v>
      </c>
      <c r="AW26">
        <f ca="1">SUMIF(Drivers!$B$11:$B$222,"*-"&amp;Constructors!$AL26&amp;"-*",Drivers!J$11:J$222)</f>
        <v>0</v>
      </c>
      <c r="AY26">
        <f ca="1">SUMIF(Drivers!$B$11:$B$222,"*-"&amp;Constructors!$AL26&amp;"-*",Drivers!K$11:K$222)</f>
        <v>0</v>
      </c>
      <c r="AZ26">
        <f ca="1">SUMIF(Drivers!$B$11:$B$222,"*-"&amp;Constructors!$AL26&amp;"-*",Drivers!L$11:L$222)</f>
        <v>0</v>
      </c>
      <c r="BB26">
        <f ca="1">SUMIF(Drivers!$B$11:$B$222,"*-"&amp;Constructors!$AL26&amp;"-*",Drivers!M$11:M$222)</f>
        <v>0</v>
      </c>
      <c r="BC26">
        <f ca="1">SUMIF(Drivers!$B$11:$B$222,"*-"&amp;Constructors!$AL26&amp;"-*",Drivers!N$11:N$222)</f>
        <v>0</v>
      </c>
      <c r="BE26">
        <f ca="1">SUMIF(Drivers!$B$11:$B$222,"*-"&amp;Constructors!$AL26&amp;"-*",Drivers!O$11:O$222)</f>
        <v>0</v>
      </c>
      <c r="BF26">
        <f ca="1">SUMIF(Drivers!$B$11:$B$222,"*-"&amp;Constructors!$AL26&amp;"-*",Drivers!P$11:P$222)</f>
        <v>0</v>
      </c>
      <c r="BG26">
        <f t="shared" ca="1" si="1"/>
        <v>77</v>
      </c>
    </row>
    <row r="27" spans="1:59" x14ac:dyDescent="0.25">
      <c r="A27" t="str">
        <f ca="1"/>
        <v>Team Aberdeen University (TAU)</v>
      </c>
      <c r="B27" t="str">
        <f ca="1"/>
        <v>TAU</v>
      </c>
      <c r="C27">
        <f ca="1"/>
        <v>14</v>
      </c>
      <c r="D27">
        <f ca="1"/>
        <v>5</v>
      </c>
      <c r="E27">
        <f ca="1"/>
        <v>19</v>
      </c>
      <c r="F27">
        <f ca="1"/>
        <v>0</v>
      </c>
      <c r="G27">
        <f ca="1"/>
        <v>14</v>
      </c>
      <c r="H27">
        <f ca="1"/>
        <v>17</v>
      </c>
      <c r="I27">
        <f ca="1"/>
        <v>0</v>
      </c>
      <c r="J27">
        <f ca="1"/>
        <v>0</v>
      </c>
      <c r="K27">
        <f ca="1"/>
        <v>0</v>
      </c>
      <c r="L27">
        <f ca="1"/>
        <v>0</v>
      </c>
      <c r="M27">
        <f ca="1"/>
        <v>0</v>
      </c>
      <c r="N27">
        <f ca="1"/>
        <v>0</v>
      </c>
      <c r="O27">
        <f ca="1"/>
        <v>0</v>
      </c>
      <c r="P27">
        <f ca="1"/>
        <v>0</v>
      </c>
      <c r="Q27">
        <f ca="1"/>
        <v>0</v>
      </c>
      <c r="R27">
        <f ca="1"/>
        <v>0</v>
      </c>
      <c r="S27">
        <f ca="1"/>
        <v>0</v>
      </c>
      <c r="T27">
        <f ca="1"/>
        <v>0</v>
      </c>
      <c r="U27">
        <f ca="1"/>
        <v>0</v>
      </c>
      <c r="V27">
        <f ca="1"/>
        <v>0</v>
      </c>
      <c r="W27">
        <f ca="1"/>
        <v>55</v>
      </c>
      <c r="X27" t="str">
        <f t="shared" ca="1" si="0"/>
        <v>TAU</v>
      </c>
      <c r="Y27">
        <v>25</v>
      </c>
      <c r="AK27" t="s">
        <v>273</v>
      </c>
      <c r="AL27" t="s">
        <v>129</v>
      </c>
      <c r="AM27">
        <v>25</v>
      </c>
      <c r="AN27">
        <f ca="1">SUMIF(Drivers!$B$11:$B$222,"*-"&amp;Constructors!$AL27&amp;"-*",Drivers!C$11:C$222)</f>
        <v>0</v>
      </c>
      <c r="AO27">
        <f ca="1">SUMIF(Drivers!$B$11:$B$222,"*-"&amp;Constructors!$AL27&amp;"-*",Drivers!D$11:D$222)</f>
        <v>0</v>
      </c>
      <c r="AQ27">
        <f ca="1">SUMIF(Drivers!$B$11:$B$222,"*-"&amp;Constructors!$AL27&amp;"-*",Drivers!E$11:E$222)</f>
        <v>0</v>
      </c>
      <c r="AR27">
        <f ca="1">SUMIF(Drivers!$B$11:$B$222,"*-"&amp;Constructors!$AL27&amp;"-*",Drivers!F$11:F$222)</f>
        <v>0</v>
      </c>
      <c r="AS27">
        <f ca="1">SUMIF(Drivers!$B$11:$B$222,"*-"&amp;Constructors!$AL27&amp;"-*",Drivers!G$11:G$222)</f>
        <v>0</v>
      </c>
      <c r="AT27">
        <f ca="1">SUMIF(Drivers!$B$11:$B$222,"*-"&amp;Constructors!$AL27&amp;"-*",Drivers!H$11:H$222)</f>
        <v>0</v>
      </c>
      <c r="AV27">
        <f ca="1">SUMIF(Drivers!$B$11:$B$222,"*-"&amp;Constructors!$AL27&amp;"-*",Drivers!I$11:I$222)</f>
        <v>0</v>
      </c>
      <c r="AW27">
        <f ca="1">SUMIF(Drivers!$B$11:$B$222,"*-"&amp;Constructors!$AL27&amp;"-*",Drivers!J$11:J$222)</f>
        <v>0</v>
      </c>
      <c r="AY27">
        <f ca="1">SUMIF(Drivers!$B$11:$B$222,"*-"&amp;Constructors!$AL27&amp;"-*",Drivers!K$11:K$222)</f>
        <v>0</v>
      </c>
      <c r="AZ27">
        <f ca="1">SUMIF(Drivers!$B$11:$B$222,"*-"&amp;Constructors!$AL27&amp;"-*",Drivers!L$11:L$222)</f>
        <v>0</v>
      </c>
      <c r="BB27">
        <f ca="1">SUMIF(Drivers!$B$11:$B$222,"*-"&amp;Constructors!$AL27&amp;"-*",Drivers!M$11:M$222)</f>
        <v>0</v>
      </c>
      <c r="BC27">
        <f ca="1">SUMIF(Drivers!$B$11:$B$222,"*-"&amp;Constructors!$AL27&amp;"-*",Drivers!N$11:N$222)</f>
        <v>0</v>
      </c>
      <c r="BE27">
        <f ca="1">SUMIF(Drivers!$B$11:$B$222,"*-"&amp;Constructors!$AL27&amp;"-*",Drivers!O$11:O$222)</f>
        <v>0</v>
      </c>
      <c r="BF27">
        <f ca="1">SUMIF(Drivers!$B$11:$B$222,"*-"&amp;Constructors!$AL27&amp;"-*",Drivers!P$11:P$222)</f>
        <v>0</v>
      </c>
      <c r="BG27">
        <f t="shared" ca="1" si="1"/>
        <v>0</v>
      </c>
    </row>
    <row r="28" spans="1:59" x14ac:dyDescent="0.25">
      <c r="A28" t="str">
        <f ca="1"/>
        <v>UCL Formula Student</v>
      </c>
      <c r="B28" t="str">
        <f ca="1"/>
        <v>UCL</v>
      </c>
      <c r="C28">
        <f ca="1"/>
        <v>17</v>
      </c>
      <c r="D28">
        <f ca="1"/>
        <v>3</v>
      </c>
      <c r="E28">
        <f ca="1"/>
        <v>12</v>
      </c>
      <c r="F28">
        <f ca="1"/>
        <v>38</v>
      </c>
      <c r="G28">
        <f ca="1"/>
        <v>1</v>
      </c>
      <c r="H28">
        <f ca="1"/>
        <v>0</v>
      </c>
      <c r="I28">
        <f ca="1"/>
        <v>0</v>
      </c>
      <c r="J28">
        <f ca="1"/>
        <v>0</v>
      </c>
      <c r="K28">
        <f ca="1"/>
        <v>0</v>
      </c>
      <c r="L28">
        <f ca="1"/>
        <v>0</v>
      </c>
      <c r="M28">
        <f ca="1"/>
        <v>0</v>
      </c>
      <c r="N28">
        <f ca="1"/>
        <v>0</v>
      </c>
      <c r="O28">
        <f ca="1"/>
        <v>0</v>
      </c>
      <c r="P28">
        <f ca="1"/>
        <v>0</v>
      </c>
      <c r="Q28">
        <f ca="1"/>
        <v>0</v>
      </c>
      <c r="R28">
        <f ca="1"/>
        <v>0</v>
      </c>
      <c r="S28">
        <f ca="1"/>
        <v>0</v>
      </c>
      <c r="T28">
        <f ca="1"/>
        <v>0</v>
      </c>
      <c r="U28">
        <f ca="1"/>
        <v>0</v>
      </c>
      <c r="V28">
        <f ca="1"/>
        <v>0</v>
      </c>
      <c r="W28">
        <f ca="1"/>
        <v>54</v>
      </c>
      <c r="X28" t="str">
        <f t="shared" ca="1" si="0"/>
        <v>UCL</v>
      </c>
      <c r="Y28">
        <v>26</v>
      </c>
      <c r="AK28" t="s">
        <v>274</v>
      </c>
      <c r="AL28" t="s">
        <v>133</v>
      </c>
      <c r="AM28">
        <v>26</v>
      </c>
      <c r="AN28">
        <f ca="1">SUMIF(Drivers!$B$11:$B$222,"*-"&amp;Constructors!$AL28&amp;"-*",Drivers!C$11:C$222)</f>
        <v>0</v>
      </c>
      <c r="AO28">
        <f ca="1">SUMIF(Drivers!$B$11:$B$222,"*-"&amp;Constructors!$AL28&amp;"-*",Drivers!D$11:D$222)</f>
        <v>0</v>
      </c>
      <c r="AQ28">
        <f ca="1">SUMIF(Drivers!$B$11:$B$222,"*-"&amp;Constructors!$AL28&amp;"-*",Drivers!E$11:E$222)</f>
        <v>2</v>
      </c>
      <c r="AR28">
        <f ca="1">SUMIF(Drivers!$B$11:$B$222,"*-"&amp;Constructors!$AL28&amp;"-*",Drivers!F$11:F$222)</f>
        <v>1</v>
      </c>
      <c r="AS28">
        <f ca="1">SUMIF(Drivers!$B$11:$B$222,"*-"&amp;Constructors!$AL28&amp;"-*",Drivers!G$11:G$222)</f>
        <v>0</v>
      </c>
      <c r="AT28">
        <f ca="1">SUMIF(Drivers!$B$11:$B$222,"*-"&amp;Constructors!$AL28&amp;"-*",Drivers!H$11:H$222)</f>
        <v>0</v>
      </c>
      <c r="AV28">
        <f ca="1">SUMIF(Drivers!$B$11:$B$222,"*-"&amp;Constructors!$AL28&amp;"-*",Drivers!I$11:I$222)</f>
        <v>0</v>
      </c>
      <c r="AW28">
        <f ca="1">SUMIF(Drivers!$B$11:$B$222,"*-"&amp;Constructors!$AL28&amp;"-*",Drivers!J$11:J$222)</f>
        <v>0</v>
      </c>
      <c r="AY28">
        <f ca="1">SUMIF(Drivers!$B$11:$B$222,"*-"&amp;Constructors!$AL28&amp;"-*",Drivers!K$11:K$222)</f>
        <v>0</v>
      </c>
      <c r="AZ28">
        <f ca="1">SUMIF(Drivers!$B$11:$B$222,"*-"&amp;Constructors!$AL28&amp;"-*",Drivers!L$11:L$222)</f>
        <v>0</v>
      </c>
      <c r="BB28">
        <f ca="1">SUMIF(Drivers!$B$11:$B$222,"*-"&amp;Constructors!$AL28&amp;"-*",Drivers!M$11:M$222)</f>
        <v>0</v>
      </c>
      <c r="BC28">
        <f ca="1">SUMIF(Drivers!$B$11:$B$222,"*-"&amp;Constructors!$AL28&amp;"-*",Drivers!N$11:N$222)</f>
        <v>0</v>
      </c>
      <c r="BE28">
        <f ca="1">SUMIF(Drivers!$B$11:$B$222,"*-"&amp;Constructors!$AL28&amp;"-*",Drivers!O$11:O$222)</f>
        <v>0</v>
      </c>
      <c r="BF28">
        <f ca="1">SUMIF(Drivers!$B$11:$B$222,"*-"&amp;Constructors!$AL28&amp;"-*",Drivers!P$11:P$222)</f>
        <v>0</v>
      </c>
      <c r="BG28">
        <f t="shared" ca="1" si="1"/>
        <v>3</v>
      </c>
    </row>
    <row r="29" spans="1:59" x14ac:dyDescent="0.25">
      <c r="A29" t="str">
        <f ca="1"/>
        <v>Manchester Stinger Motorsports</v>
      </c>
      <c r="B29" t="str">
        <f ca="1"/>
        <v>MAN</v>
      </c>
      <c r="C29">
        <f ca="1"/>
        <v>16</v>
      </c>
      <c r="D29">
        <f ca="1"/>
        <v>20</v>
      </c>
      <c r="E29">
        <f ca="1"/>
        <v>5</v>
      </c>
      <c r="F29">
        <f ca="1"/>
        <v>0</v>
      </c>
      <c r="G29">
        <f ca="1"/>
        <v>14</v>
      </c>
      <c r="H29">
        <f ca="1"/>
        <v>14</v>
      </c>
      <c r="I29">
        <f ca="1"/>
        <v>0</v>
      </c>
      <c r="J29">
        <f ca="1"/>
        <v>0</v>
      </c>
      <c r="K29">
        <f ca="1"/>
        <v>0</v>
      </c>
      <c r="L29">
        <f ca="1"/>
        <v>0</v>
      </c>
      <c r="M29">
        <f ca="1"/>
        <v>0</v>
      </c>
      <c r="N29">
        <f ca="1"/>
        <v>0</v>
      </c>
      <c r="O29">
        <f ca="1"/>
        <v>0</v>
      </c>
      <c r="P29">
        <f ca="1"/>
        <v>0</v>
      </c>
      <c r="Q29">
        <f ca="1"/>
        <v>0</v>
      </c>
      <c r="R29">
        <f ca="1"/>
        <v>0</v>
      </c>
      <c r="S29">
        <f ca="1"/>
        <v>0</v>
      </c>
      <c r="T29">
        <f ca="1"/>
        <v>0</v>
      </c>
      <c r="U29">
        <f ca="1"/>
        <v>0</v>
      </c>
      <c r="V29">
        <f ca="1"/>
        <v>0</v>
      </c>
      <c r="W29">
        <f ca="1"/>
        <v>53</v>
      </c>
      <c r="X29" t="str">
        <f t="shared" ca="1" si="0"/>
        <v>MAN</v>
      </c>
      <c r="Y29">
        <v>27</v>
      </c>
      <c r="AK29" t="s">
        <v>275</v>
      </c>
      <c r="AL29" t="s">
        <v>136</v>
      </c>
      <c r="AM29">
        <v>27</v>
      </c>
      <c r="AN29">
        <f ca="1">SUMIF(Drivers!$B$11:$B$222,"*-"&amp;Constructors!$AL29&amp;"-*",Drivers!C$11:C$222)</f>
        <v>19</v>
      </c>
      <c r="AO29">
        <f ca="1">SUMIF(Drivers!$B$11:$B$222,"*-"&amp;Constructors!$AL29&amp;"-*",Drivers!D$11:D$222)</f>
        <v>28</v>
      </c>
      <c r="AP29">
        <v>0</v>
      </c>
      <c r="AQ29">
        <f ca="1">SUMIF(Drivers!$B$11:$B$222,"*-"&amp;Constructors!$AL29&amp;"-*",Drivers!E$11:E$222)</f>
        <v>17</v>
      </c>
      <c r="AR29">
        <f ca="1">SUMIF(Drivers!$B$11:$B$222,"*-"&amp;Constructors!$AL29&amp;"-*",Drivers!F$11:F$222)</f>
        <v>0</v>
      </c>
      <c r="AS29">
        <f ca="1">SUMIF(Drivers!$B$11:$B$222,"*-"&amp;Constructors!$AL29&amp;"-*",Drivers!G$11:G$222)</f>
        <v>0</v>
      </c>
      <c r="AT29">
        <f ca="1">SUMIF(Drivers!$B$11:$B$222,"*-"&amp;Constructors!$AL29&amp;"-*",Drivers!H$11:H$222)</f>
        <v>0</v>
      </c>
      <c r="AV29">
        <f ca="1">SUMIF(Drivers!$B$11:$B$222,"*-"&amp;Constructors!$AL29&amp;"-*",Drivers!I$11:I$222)</f>
        <v>0</v>
      </c>
      <c r="AW29">
        <f ca="1">SUMIF(Drivers!$B$11:$B$222,"*-"&amp;Constructors!$AL29&amp;"-*",Drivers!J$11:J$222)</f>
        <v>0</v>
      </c>
      <c r="AY29">
        <f ca="1">SUMIF(Drivers!$B$11:$B$222,"*-"&amp;Constructors!$AL29&amp;"-*",Drivers!K$11:K$222)</f>
        <v>0</v>
      </c>
      <c r="AZ29">
        <f ca="1">SUMIF(Drivers!$B$11:$B$222,"*-"&amp;Constructors!$AL29&amp;"-*",Drivers!L$11:L$222)</f>
        <v>0</v>
      </c>
      <c r="BB29">
        <f ca="1">SUMIF(Drivers!$B$11:$B$222,"*-"&amp;Constructors!$AL29&amp;"-*",Drivers!M$11:M$222)</f>
        <v>0</v>
      </c>
      <c r="BC29">
        <f ca="1">SUMIF(Drivers!$B$11:$B$222,"*-"&amp;Constructors!$AL29&amp;"-*",Drivers!N$11:N$222)</f>
        <v>0</v>
      </c>
      <c r="BE29">
        <f ca="1">SUMIF(Drivers!$B$11:$B$222,"*-"&amp;Constructors!$AL29&amp;"-*",Drivers!O$11:O$222)</f>
        <v>0</v>
      </c>
      <c r="BF29">
        <f ca="1">SUMIF(Drivers!$B$11:$B$222,"*-"&amp;Constructors!$AL29&amp;"-*",Drivers!P$11:P$222)</f>
        <v>0</v>
      </c>
      <c r="BG29">
        <f t="shared" ca="1" si="1"/>
        <v>64</v>
      </c>
    </row>
    <row r="30" spans="1:59" x14ac:dyDescent="0.25">
      <c r="A30" t="str">
        <f ca="1"/>
        <v>Fuosr mofu Alala Svtau)dent Vitoria</v>
      </c>
      <c r="B30" t="str">
        <f ca="1"/>
        <v>VIT</v>
      </c>
      <c r="C30">
        <f ca="1"/>
        <v>9</v>
      </c>
      <c r="D30">
        <f ca="1"/>
        <v>8</v>
      </c>
      <c r="E30">
        <f ca="1"/>
        <v>14</v>
      </c>
      <c r="F30">
        <f ca="1"/>
        <v>0</v>
      </c>
      <c r="G30">
        <f ca="1"/>
        <v>30</v>
      </c>
      <c r="H30">
        <f ca="1"/>
        <v>0</v>
      </c>
      <c r="I30">
        <f ca="1"/>
        <v>0</v>
      </c>
      <c r="J30">
        <f ca="1"/>
        <v>0</v>
      </c>
      <c r="K30">
        <f ca="1"/>
        <v>0</v>
      </c>
      <c r="L30">
        <f ca="1"/>
        <v>0</v>
      </c>
      <c r="M30">
        <f ca="1"/>
        <v>0</v>
      </c>
      <c r="N30">
        <f ca="1"/>
        <v>0</v>
      </c>
      <c r="O30">
        <f ca="1"/>
        <v>0</v>
      </c>
      <c r="P30">
        <f ca="1"/>
        <v>0</v>
      </c>
      <c r="Q30">
        <f ca="1"/>
        <v>0</v>
      </c>
      <c r="R30">
        <f ca="1"/>
        <v>0</v>
      </c>
      <c r="S30">
        <f ca="1"/>
        <v>0</v>
      </c>
      <c r="T30">
        <f ca="1"/>
        <v>0</v>
      </c>
      <c r="U30">
        <f ca="1"/>
        <v>0</v>
      </c>
      <c r="V30">
        <f ca="1"/>
        <v>0</v>
      </c>
      <c r="W30">
        <f ca="1"/>
        <v>52</v>
      </c>
      <c r="X30" t="str">
        <f t="shared" ca="1" si="0"/>
        <v>VIT</v>
      </c>
      <c r="Y30">
        <v>28</v>
      </c>
      <c r="AK30" t="s">
        <v>276</v>
      </c>
      <c r="AL30" t="s">
        <v>142</v>
      </c>
      <c r="AM30">
        <v>28</v>
      </c>
      <c r="AN30">
        <f ca="1">SUMIF(Drivers!$B$11:$B$222,"*-"&amp;Constructors!$AL30&amp;"-*",Drivers!C$11:C$222)</f>
        <v>0</v>
      </c>
      <c r="AO30">
        <f ca="1">SUMIF(Drivers!$B$11:$B$222,"*-"&amp;Constructors!$AL30&amp;"-*",Drivers!D$11:D$222)</f>
        <v>0</v>
      </c>
      <c r="AQ30">
        <f ca="1">SUMIF(Drivers!$B$11:$B$222,"*-"&amp;Constructors!$AL30&amp;"-*",Drivers!E$11:E$222)</f>
        <v>22</v>
      </c>
      <c r="AR30">
        <f ca="1">SUMIF(Drivers!$B$11:$B$222,"*-"&amp;Constructors!$AL30&amp;"-*",Drivers!F$11:F$222)</f>
        <v>23</v>
      </c>
      <c r="AS30">
        <f ca="1">SUMIF(Drivers!$B$11:$B$222,"*-"&amp;Constructors!$AL30&amp;"-*",Drivers!G$11:G$222)</f>
        <v>0</v>
      </c>
      <c r="AT30">
        <f ca="1">SUMIF(Drivers!$B$11:$B$222,"*-"&amp;Constructors!$AL30&amp;"-*",Drivers!H$11:H$222)</f>
        <v>0</v>
      </c>
      <c r="AV30">
        <f ca="1">SUMIF(Drivers!$B$11:$B$222,"*-"&amp;Constructors!$AL30&amp;"-*",Drivers!I$11:I$222)</f>
        <v>0</v>
      </c>
      <c r="AW30">
        <f ca="1">SUMIF(Drivers!$B$11:$B$222,"*-"&amp;Constructors!$AL30&amp;"-*",Drivers!J$11:J$222)</f>
        <v>0</v>
      </c>
      <c r="AY30">
        <f ca="1">SUMIF(Drivers!$B$11:$B$222,"*-"&amp;Constructors!$AL30&amp;"-*",Drivers!K$11:K$222)</f>
        <v>0</v>
      </c>
      <c r="AZ30">
        <f ca="1">SUMIF(Drivers!$B$11:$B$222,"*-"&amp;Constructors!$AL30&amp;"-*",Drivers!L$11:L$222)</f>
        <v>0</v>
      </c>
      <c r="BB30">
        <f ca="1">SUMIF(Drivers!$B$11:$B$222,"*-"&amp;Constructors!$AL30&amp;"-*",Drivers!M$11:M$222)</f>
        <v>0</v>
      </c>
      <c r="BC30">
        <f ca="1">SUMIF(Drivers!$B$11:$B$222,"*-"&amp;Constructors!$AL30&amp;"-*",Drivers!N$11:N$222)</f>
        <v>0</v>
      </c>
      <c r="BE30">
        <f ca="1">SUMIF(Drivers!$B$11:$B$222,"*-"&amp;Constructors!$AL30&amp;"-*",Drivers!O$11:O$222)</f>
        <v>0</v>
      </c>
      <c r="BF30">
        <f ca="1">SUMIF(Drivers!$B$11:$B$222,"*-"&amp;Constructors!$AL30&amp;"-*",Drivers!P$11:P$222)</f>
        <v>0</v>
      </c>
      <c r="BG30">
        <f t="shared" ca="1" si="1"/>
        <v>45</v>
      </c>
    </row>
    <row r="31" spans="1:59" x14ac:dyDescent="0.25">
      <c r="A31" t="str">
        <f ca="1"/>
        <v>Queen's Formula Racing</v>
      </c>
      <c r="B31" t="str">
        <f ca="1"/>
        <v>QBEL</v>
      </c>
      <c r="C31">
        <f ca="1"/>
        <v>28</v>
      </c>
      <c r="D31">
        <f ca="1"/>
        <v>0</v>
      </c>
      <c r="E31">
        <f ca="1"/>
        <v>0</v>
      </c>
      <c r="F31">
        <f ca="1"/>
        <v>0</v>
      </c>
      <c r="G31">
        <f ca="1"/>
        <v>22</v>
      </c>
      <c r="H31">
        <f ca="1"/>
        <v>23</v>
      </c>
      <c r="I31">
        <f ca="1"/>
        <v>0</v>
      </c>
      <c r="J31">
        <f ca="1"/>
        <v>0</v>
      </c>
      <c r="K31">
        <f ca="1"/>
        <v>0</v>
      </c>
      <c r="L31">
        <f ca="1"/>
        <v>0</v>
      </c>
      <c r="M31">
        <f ca="1"/>
        <v>0</v>
      </c>
      <c r="N31">
        <f ca="1"/>
        <v>0</v>
      </c>
      <c r="O31">
        <f ca="1"/>
        <v>0</v>
      </c>
      <c r="P31">
        <f ca="1"/>
        <v>0</v>
      </c>
      <c r="Q31">
        <f ca="1"/>
        <v>0</v>
      </c>
      <c r="R31">
        <f ca="1"/>
        <v>0</v>
      </c>
      <c r="S31">
        <f ca="1"/>
        <v>0</v>
      </c>
      <c r="T31">
        <f ca="1"/>
        <v>0</v>
      </c>
      <c r="U31">
        <f ca="1"/>
        <v>0</v>
      </c>
      <c r="V31">
        <f ca="1"/>
        <v>0</v>
      </c>
      <c r="W31">
        <f ca="1"/>
        <v>45</v>
      </c>
      <c r="X31" t="str">
        <f t="shared" ca="1" si="0"/>
        <v>QBEL</v>
      </c>
      <c r="Y31">
        <v>29</v>
      </c>
      <c r="AK31" t="s">
        <v>277</v>
      </c>
      <c r="AL31" t="s">
        <v>145</v>
      </c>
      <c r="AM31">
        <v>29</v>
      </c>
      <c r="AN31">
        <f ca="1">SUMIF(Drivers!$B$11:$B$222,"*-"&amp;Constructors!$AL31&amp;"-*",Drivers!C$11:C$222)</f>
        <v>0</v>
      </c>
      <c r="AO31">
        <f ca="1">SUMIF(Drivers!$B$11:$B$222,"*-"&amp;Constructors!$AL31&amp;"-*",Drivers!D$11:D$222)</f>
        <v>0</v>
      </c>
      <c r="AQ31">
        <f ca="1">SUMIF(Drivers!$B$11:$B$222,"*-"&amp;Constructors!$AL31&amp;"-*",Drivers!E$11:E$222)</f>
        <v>0</v>
      </c>
      <c r="AR31">
        <f ca="1">SUMIF(Drivers!$B$11:$B$222,"*-"&amp;Constructors!$AL31&amp;"-*",Drivers!F$11:F$222)</f>
        <v>0</v>
      </c>
      <c r="AS31">
        <f ca="1">SUMIF(Drivers!$B$11:$B$222,"*-"&amp;Constructors!$AL31&amp;"-*",Drivers!G$11:G$222)</f>
        <v>0</v>
      </c>
      <c r="AT31">
        <f ca="1">SUMIF(Drivers!$B$11:$B$222,"*-"&amp;Constructors!$AL31&amp;"-*",Drivers!H$11:H$222)</f>
        <v>0</v>
      </c>
      <c r="AV31">
        <f ca="1">SUMIF(Drivers!$B$11:$B$222,"*-"&amp;Constructors!$AL31&amp;"-*",Drivers!I$11:I$222)</f>
        <v>0</v>
      </c>
      <c r="AW31">
        <f ca="1">SUMIF(Drivers!$B$11:$B$222,"*-"&amp;Constructors!$AL31&amp;"-*",Drivers!J$11:J$222)</f>
        <v>0</v>
      </c>
      <c r="AY31">
        <f ca="1">SUMIF(Drivers!$B$11:$B$222,"*-"&amp;Constructors!$AL31&amp;"-*",Drivers!K$11:K$222)</f>
        <v>0</v>
      </c>
      <c r="AZ31">
        <f ca="1">SUMIF(Drivers!$B$11:$B$222,"*-"&amp;Constructors!$AL31&amp;"-*",Drivers!L$11:L$222)</f>
        <v>0</v>
      </c>
      <c r="BB31">
        <f ca="1">SUMIF(Drivers!$B$11:$B$222,"*-"&amp;Constructors!$AL31&amp;"-*",Drivers!M$11:M$222)</f>
        <v>0</v>
      </c>
      <c r="BC31">
        <f ca="1">SUMIF(Drivers!$B$11:$B$222,"*-"&amp;Constructors!$AL31&amp;"-*",Drivers!N$11:N$222)</f>
        <v>0</v>
      </c>
      <c r="BE31">
        <f ca="1">SUMIF(Drivers!$B$11:$B$222,"*-"&amp;Constructors!$AL31&amp;"-*",Drivers!O$11:O$222)</f>
        <v>0</v>
      </c>
      <c r="BF31">
        <f ca="1">SUMIF(Drivers!$B$11:$B$222,"*-"&amp;Constructors!$AL31&amp;"-*",Drivers!P$11:P$222)</f>
        <v>0</v>
      </c>
      <c r="BG31">
        <f t="shared" ca="1" si="1"/>
        <v>0</v>
      </c>
    </row>
    <row r="32" spans="1:59" x14ac:dyDescent="0.25">
      <c r="A32" t="str">
        <f ca="1"/>
        <v>HKU Racing</v>
      </c>
      <c r="B32" t="str">
        <f ca="1"/>
        <v>HKU</v>
      </c>
      <c r="C32">
        <f ca="1"/>
        <v>52</v>
      </c>
      <c r="D32">
        <f ca="1"/>
        <v>20</v>
      </c>
      <c r="E32">
        <f ca="1"/>
        <v>22</v>
      </c>
      <c r="F32">
        <f ca="1"/>
        <v>0</v>
      </c>
      <c r="G32">
        <f ca="1"/>
        <v>0</v>
      </c>
      <c r="H32">
        <f ca="1"/>
        <v>0</v>
      </c>
      <c r="I32">
        <f ca="1"/>
        <v>0</v>
      </c>
      <c r="J32">
        <f ca="1"/>
        <v>0</v>
      </c>
      <c r="K32">
        <f ca="1"/>
        <v>0</v>
      </c>
      <c r="L32">
        <f ca="1"/>
        <v>0</v>
      </c>
      <c r="M32">
        <f ca="1"/>
        <v>0</v>
      </c>
      <c r="N32">
        <f ca="1"/>
        <v>0</v>
      </c>
      <c r="O32">
        <f ca="1"/>
        <v>0</v>
      </c>
      <c r="P32">
        <f ca="1"/>
        <v>0</v>
      </c>
      <c r="Q32">
        <f ca="1"/>
        <v>0</v>
      </c>
      <c r="R32">
        <f ca="1"/>
        <v>0</v>
      </c>
      <c r="S32">
        <f ca="1"/>
        <v>0</v>
      </c>
      <c r="T32">
        <f ca="1"/>
        <v>0</v>
      </c>
      <c r="U32">
        <f ca="1"/>
        <v>0</v>
      </c>
      <c r="V32">
        <f ca="1"/>
        <v>0</v>
      </c>
      <c r="W32">
        <f ca="1"/>
        <v>42</v>
      </c>
      <c r="X32" t="str">
        <f t="shared" ca="1" si="0"/>
        <v>HKU</v>
      </c>
      <c r="Y32">
        <v>30</v>
      </c>
      <c r="AK32" t="s">
        <v>278</v>
      </c>
      <c r="AL32" t="s">
        <v>152</v>
      </c>
      <c r="AM32">
        <v>30</v>
      </c>
      <c r="AN32">
        <f ca="1">SUMIF(Drivers!$B$11:$B$222,"*-"&amp;Constructors!$AL32&amp;"-*",Drivers!C$11:C$222)</f>
        <v>0</v>
      </c>
      <c r="AO32">
        <f ca="1">SUMIF(Drivers!$B$11:$B$222,"*-"&amp;Constructors!$AL32&amp;"-*",Drivers!D$11:D$222)</f>
        <v>0</v>
      </c>
      <c r="AQ32">
        <f ca="1">SUMIF(Drivers!$B$11:$B$222,"*-"&amp;Constructors!$AL32&amp;"-*",Drivers!E$11:E$222)</f>
        <v>0</v>
      </c>
      <c r="AR32">
        <f ca="1">SUMIF(Drivers!$B$11:$B$222,"*-"&amp;Constructors!$AL32&amp;"-*",Drivers!F$11:F$222)</f>
        <v>0</v>
      </c>
      <c r="AS32">
        <f ca="1">SUMIF(Drivers!$B$11:$B$222,"*-"&amp;Constructors!$AL32&amp;"-*",Drivers!G$11:G$222)</f>
        <v>0</v>
      </c>
      <c r="AT32">
        <f ca="1">SUMIF(Drivers!$B$11:$B$222,"*-"&amp;Constructors!$AL32&amp;"-*",Drivers!H$11:H$222)</f>
        <v>0</v>
      </c>
      <c r="AV32">
        <f ca="1">SUMIF(Drivers!$B$11:$B$222,"*-"&amp;Constructors!$AL32&amp;"-*",Drivers!I$11:I$222)</f>
        <v>0</v>
      </c>
      <c r="AW32">
        <f ca="1">SUMIF(Drivers!$B$11:$B$222,"*-"&amp;Constructors!$AL32&amp;"-*",Drivers!J$11:J$222)</f>
        <v>0</v>
      </c>
      <c r="AY32">
        <f ca="1">SUMIF(Drivers!$B$11:$B$222,"*-"&amp;Constructors!$AL32&amp;"-*",Drivers!K$11:K$222)</f>
        <v>0</v>
      </c>
      <c r="AZ32">
        <f ca="1">SUMIF(Drivers!$B$11:$B$222,"*-"&amp;Constructors!$AL32&amp;"-*",Drivers!L$11:L$222)</f>
        <v>0</v>
      </c>
      <c r="BB32">
        <f ca="1">SUMIF(Drivers!$B$11:$B$222,"*-"&amp;Constructors!$AL32&amp;"-*",Drivers!M$11:M$222)</f>
        <v>0</v>
      </c>
      <c r="BC32">
        <f ca="1">SUMIF(Drivers!$B$11:$B$222,"*-"&amp;Constructors!$AL32&amp;"-*",Drivers!N$11:N$222)</f>
        <v>0</v>
      </c>
      <c r="BE32">
        <f ca="1">SUMIF(Drivers!$B$11:$B$222,"*-"&amp;Constructors!$AL32&amp;"-*",Drivers!O$11:O$222)</f>
        <v>0</v>
      </c>
      <c r="BF32">
        <f ca="1">SUMIF(Drivers!$B$11:$B$222,"*-"&amp;Constructors!$AL32&amp;"-*",Drivers!P$11:P$222)</f>
        <v>0</v>
      </c>
      <c r="BG32">
        <f t="shared" ca="1" si="1"/>
        <v>0</v>
      </c>
    </row>
    <row r="33" spans="1:59" x14ac:dyDescent="0.25">
      <c r="A33" t="str">
        <f ca="1"/>
        <v>Proton Dynamic</v>
      </c>
      <c r="B33" t="str">
        <f ca="1"/>
        <v>PROT</v>
      </c>
      <c r="C33">
        <f ca="1"/>
        <v>53</v>
      </c>
      <c r="D33">
        <f ca="1"/>
        <v>34</v>
      </c>
      <c r="E33">
        <f ca="1"/>
        <v>4</v>
      </c>
      <c r="F33">
        <f ca="1"/>
        <v>0</v>
      </c>
      <c r="G33">
        <f ca="1"/>
        <v>0</v>
      </c>
      <c r="H33">
        <f ca="1"/>
        <v>0</v>
      </c>
      <c r="I33">
        <f ca="1"/>
        <v>0</v>
      </c>
      <c r="J33">
        <f ca="1"/>
        <v>0</v>
      </c>
      <c r="K33">
        <f ca="1"/>
        <v>0</v>
      </c>
      <c r="L33">
        <f ca="1"/>
        <v>0</v>
      </c>
      <c r="M33">
        <f ca="1"/>
        <v>0</v>
      </c>
      <c r="N33">
        <f ca="1"/>
        <v>0</v>
      </c>
      <c r="O33">
        <f ca="1"/>
        <v>0</v>
      </c>
      <c r="P33">
        <f ca="1"/>
        <v>0</v>
      </c>
      <c r="Q33">
        <f ca="1"/>
        <v>0</v>
      </c>
      <c r="R33">
        <f ca="1"/>
        <v>0</v>
      </c>
      <c r="S33">
        <f ca="1"/>
        <v>0</v>
      </c>
      <c r="T33">
        <f ca="1"/>
        <v>0</v>
      </c>
      <c r="U33">
        <f ca="1"/>
        <v>0</v>
      </c>
      <c r="V33">
        <f ca="1"/>
        <v>0</v>
      </c>
      <c r="W33">
        <f ca="1"/>
        <v>38</v>
      </c>
      <c r="X33" t="str">
        <f t="shared" ca="1" si="0"/>
        <v>PROT</v>
      </c>
      <c r="Y33">
        <v>31</v>
      </c>
      <c r="AK33" t="s">
        <v>279</v>
      </c>
      <c r="AL33" t="s">
        <v>156</v>
      </c>
      <c r="AM33">
        <v>31</v>
      </c>
      <c r="AN33">
        <f ca="1">SUMIF(Drivers!$B$11:$B$222,"*-"&amp;Constructors!$AL33&amp;"-*",Drivers!C$11:C$222)</f>
        <v>14</v>
      </c>
      <c r="AO33">
        <f ca="1">SUMIF(Drivers!$B$11:$B$222,"*-"&amp;Constructors!$AL33&amp;"-*",Drivers!D$11:D$222)</f>
        <v>0</v>
      </c>
      <c r="AP33">
        <v>34</v>
      </c>
      <c r="AQ33">
        <f ca="1">SUMIF(Drivers!$B$11:$B$222,"*-"&amp;Constructors!$AL33&amp;"-*",Drivers!E$11:E$222)</f>
        <v>18</v>
      </c>
      <c r="AR33">
        <f ca="1">SUMIF(Drivers!$B$11:$B$222,"*-"&amp;Constructors!$AL33&amp;"-*",Drivers!F$11:F$222)</f>
        <v>14</v>
      </c>
      <c r="AS33">
        <f ca="1">SUMIF(Drivers!$B$11:$B$222,"*-"&amp;Constructors!$AL33&amp;"-*",Drivers!G$11:G$222)</f>
        <v>0</v>
      </c>
      <c r="AT33">
        <f ca="1">SUMIF(Drivers!$B$11:$B$222,"*-"&amp;Constructors!$AL33&amp;"-*",Drivers!H$11:H$222)</f>
        <v>0</v>
      </c>
      <c r="AV33">
        <f ca="1">SUMIF(Drivers!$B$11:$B$222,"*-"&amp;Constructors!$AL33&amp;"-*",Drivers!I$11:I$222)</f>
        <v>0</v>
      </c>
      <c r="AW33">
        <f ca="1">SUMIF(Drivers!$B$11:$B$222,"*-"&amp;Constructors!$AL33&amp;"-*",Drivers!J$11:J$222)</f>
        <v>0</v>
      </c>
      <c r="AY33">
        <f ca="1">SUMIF(Drivers!$B$11:$B$222,"*-"&amp;Constructors!$AL33&amp;"-*",Drivers!K$11:K$222)</f>
        <v>0</v>
      </c>
      <c r="AZ33">
        <f ca="1">SUMIF(Drivers!$B$11:$B$222,"*-"&amp;Constructors!$AL33&amp;"-*",Drivers!L$11:L$222)</f>
        <v>0</v>
      </c>
      <c r="BB33">
        <f ca="1">SUMIF(Drivers!$B$11:$B$222,"*-"&amp;Constructors!$AL33&amp;"-*",Drivers!M$11:M$222)</f>
        <v>0</v>
      </c>
      <c r="BC33">
        <f ca="1">SUMIF(Drivers!$B$11:$B$222,"*-"&amp;Constructors!$AL33&amp;"-*",Drivers!N$11:N$222)</f>
        <v>0</v>
      </c>
      <c r="BE33">
        <f ca="1">SUMIF(Drivers!$B$11:$B$222,"*-"&amp;Constructors!$AL33&amp;"-*",Drivers!O$11:O$222)</f>
        <v>0</v>
      </c>
      <c r="BF33">
        <f ca="1">SUMIF(Drivers!$B$11:$B$222,"*-"&amp;Constructors!$AL33&amp;"-*",Drivers!P$11:P$222)</f>
        <v>0</v>
      </c>
      <c r="BG33">
        <f t="shared" ca="1" si="1"/>
        <v>80</v>
      </c>
    </row>
    <row r="34" spans="1:59" x14ac:dyDescent="0.25">
      <c r="A34" t="str">
        <f ca="1"/>
        <v>SHU Racing</v>
      </c>
      <c r="B34" t="str">
        <f ca="1"/>
        <v>SHU</v>
      </c>
      <c r="C34">
        <f ca="1"/>
        <v>20</v>
      </c>
      <c r="D34">
        <f ca="1"/>
        <v>10</v>
      </c>
      <c r="E34">
        <f ca="1"/>
        <v>0</v>
      </c>
      <c r="F34">
        <f ca="1"/>
        <v>20</v>
      </c>
      <c r="G34">
        <f ca="1"/>
        <v>0</v>
      </c>
      <c r="H34">
        <f ca="1"/>
        <v>4</v>
      </c>
      <c r="I34">
        <f ca="1"/>
        <v>0</v>
      </c>
      <c r="J34">
        <f ca="1"/>
        <v>0</v>
      </c>
      <c r="K34">
        <f ca="1"/>
        <v>0</v>
      </c>
      <c r="L34">
        <f ca="1"/>
        <v>0</v>
      </c>
      <c r="M34">
        <f ca="1"/>
        <v>0</v>
      </c>
      <c r="N34">
        <f ca="1"/>
        <v>0</v>
      </c>
      <c r="O34">
        <f ca="1"/>
        <v>0</v>
      </c>
      <c r="P34">
        <f ca="1"/>
        <v>0</v>
      </c>
      <c r="Q34">
        <f ca="1"/>
        <v>0</v>
      </c>
      <c r="R34">
        <f ca="1"/>
        <v>0</v>
      </c>
      <c r="S34">
        <f ca="1"/>
        <v>0</v>
      </c>
      <c r="T34">
        <f ca="1"/>
        <v>0</v>
      </c>
      <c r="U34">
        <f ca="1"/>
        <v>0</v>
      </c>
      <c r="V34">
        <f ca="1"/>
        <v>0</v>
      </c>
      <c r="W34">
        <f ca="1"/>
        <v>34</v>
      </c>
      <c r="X34" t="str">
        <f t="shared" ca="1" si="0"/>
        <v>SHU</v>
      </c>
      <c r="Y34">
        <v>32</v>
      </c>
      <c r="AK34" t="s">
        <v>162</v>
      </c>
      <c r="AL34" t="s">
        <v>163</v>
      </c>
      <c r="AM34">
        <v>32</v>
      </c>
      <c r="AN34">
        <f ca="1">SUMIF(Drivers!$B$11:$B$222,"*-"&amp;Constructors!$AL34&amp;"-*",Drivers!C$11:C$222)</f>
        <v>0</v>
      </c>
      <c r="AO34">
        <f ca="1">SUMIF(Drivers!$B$11:$B$222,"*-"&amp;Constructors!$AL34&amp;"-*",Drivers!D$11:D$222)</f>
        <v>0</v>
      </c>
      <c r="AQ34">
        <f ca="1">SUMIF(Drivers!$B$11:$B$222,"*-"&amp;Constructors!$AL34&amp;"-*",Drivers!E$11:E$222)</f>
        <v>0</v>
      </c>
      <c r="AR34">
        <f ca="1">SUMIF(Drivers!$B$11:$B$222,"*-"&amp;Constructors!$AL34&amp;"-*",Drivers!F$11:F$222)</f>
        <v>0</v>
      </c>
      <c r="AS34">
        <f ca="1">SUMIF(Drivers!$B$11:$B$222,"*-"&amp;Constructors!$AL34&amp;"-*",Drivers!G$11:G$222)</f>
        <v>0</v>
      </c>
      <c r="AT34">
        <f ca="1">SUMIF(Drivers!$B$11:$B$222,"*-"&amp;Constructors!$AL34&amp;"-*",Drivers!H$11:H$222)</f>
        <v>0</v>
      </c>
      <c r="AV34">
        <f ca="1">SUMIF(Drivers!$B$11:$B$222,"*-"&amp;Constructors!$AL34&amp;"-*",Drivers!I$11:I$222)</f>
        <v>0</v>
      </c>
      <c r="AW34">
        <f ca="1">SUMIF(Drivers!$B$11:$B$222,"*-"&amp;Constructors!$AL34&amp;"-*",Drivers!J$11:J$222)</f>
        <v>0</v>
      </c>
      <c r="AY34">
        <f ca="1">SUMIF(Drivers!$B$11:$B$222,"*-"&amp;Constructors!$AL34&amp;"-*",Drivers!K$11:K$222)</f>
        <v>0</v>
      </c>
      <c r="AZ34">
        <f ca="1">SUMIF(Drivers!$B$11:$B$222,"*-"&amp;Constructors!$AL34&amp;"-*",Drivers!L$11:L$222)</f>
        <v>0</v>
      </c>
      <c r="BB34">
        <f ca="1">SUMIF(Drivers!$B$11:$B$222,"*-"&amp;Constructors!$AL34&amp;"-*",Drivers!M$11:M$222)</f>
        <v>0</v>
      </c>
      <c r="BC34">
        <f ca="1">SUMIF(Drivers!$B$11:$B$222,"*-"&amp;Constructors!$AL34&amp;"-*",Drivers!N$11:N$222)</f>
        <v>0</v>
      </c>
      <c r="BE34">
        <f ca="1">SUMIF(Drivers!$B$11:$B$222,"*-"&amp;Constructors!$AL34&amp;"-*",Drivers!O$11:O$222)</f>
        <v>0</v>
      </c>
      <c r="BF34">
        <f ca="1">SUMIF(Drivers!$B$11:$B$222,"*-"&amp;Constructors!$AL34&amp;"-*",Drivers!P$11:P$222)</f>
        <v>0</v>
      </c>
      <c r="BG34">
        <f t="shared" ca="1" si="1"/>
        <v>0</v>
      </c>
    </row>
    <row r="35" spans="1:59" x14ac:dyDescent="0.25">
      <c r="A35" t="str">
        <f ca="1"/>
        <v>ION Racing</v>
      </c>
      <c r="B35" t="str">
        <f ca="1"/>
        <v>ION</v>
      </c>
      <c r="C35">
        <f ca="1"/>
        <v>10</v>
      </c>
      <c r="D35">
        <f ca="1"/>
        <v>0</v>
      </c>
      <c r="E35">
        <f ca="1"/>
        <v>0</v>
      </c>
      <c r="F35">
        <f ca="1"/>
        <v>0</v>
      </c>
      <c r="G35">
        <f ca="1"/>
        <v>11</v>
      </c>
      <c r="H35">
        <f ca="1"/>
        <v>20</v>
      </c>
      <c r="I35">
        <f ca="1"/>
        <v>0</v>
      </c>
      <c r="J35">
        <f ca="1"/>
        <v>0</v>
      </c>
      <c r="K35">
        <f ca="1"/>
        <v>0</v>
      </c>
      <c r="L35">
        <f ca="1"/>
        <v>0</v>
      </c>
      <c r="M35">
        <f ca="1"/>
        <v>0</v>
      </c>
      <c r="N35">
        <f ca="1"/>
        <v>0</v>
      </c>
      <c r="O35">
        <f ca="1"/>
        <v>0</v>
      </c>
      <c r="P35">
        <f ca="1"/>
        <v>0</v>
      </c>
      <c r="Q35">
        <f ca="1"/>
        <v>0</v>
      </c>
      <c r="R35">
        <f ca="1"/>
        <v>0</v>
      </c>
      <c r="S35">
        <f ca="1"/>
        <v>0</v>
      </c>
      <c r="T35">
        <f ca="1"/>
        <v>0</v>
      </c>
      <c r="U35">
        <f ca="1"/>
        <v>0</v>
      </c>
      <c r="V35">
        <f ca="1"/>
        <v>0</v>
      </c>
      <c r="W35">
        <f ca="1"/>
        <v>31</v>
      </c>
      <c r="X35" t="str">
        <f t="shared" ca="1" si="0"/>
        <v>ION</v>
      </c>
      <c r="Y35">
        <v>33</v>
      </c>
      <c r="AK35" t="s">
        <v>280</v>
      </c>
      <c r="AL35" t="s">
        <v>167</v>
      </c>
      <c r="AM35">
        <v>33</v>
      </c>
      <c r="AN35">
        <f ca="1">SUMIF(Drivers!$B$11:$B$222,"*-"&amp;Constructors!$AL35&amp;"-*",Drivers!C$11:C$222)</f>
        <v>0</v>
      </c>
      <c r="AO35">
        <f ca="1">SUMIF(Drivers!$B$11:$B$222,"*-"&amp;Constructors!$AL35&amp;"-*",Drivers!D$11:D$222)</f>
        <v>0</v>
      </c>
      <c r="AQ35">
        <f ca="1">SUMIF(Drivers!$B$11:$B$222,"*-"&amp;Constructors!$AL35&amp;"-*",Drivers!E$11:E$222)</f>
        <v>0</v>
      </c>
      <c r="AR35">
        <f ca="1">SUMIF(Drivers!$B$11:$B$222,"*-"&amp;Constructors!$AL35&amp;"-*",Drivers!F$11:F$222)</f>
        <v>0</v>
      </c>
      <c r="AS35">
        <f ca="1">SUMIF(Drivers!$B$11:$B$222,"*-"&amp;Constructors!$AL35&amp;"-*",Drivers!G$11:G$222)</f>
        <v>0</v>
      </c>
      <c r="AT35">
        <f ca="1">SUMIF(Drivers!$B$11:$B$222,"*-"&amp;Constructors!$AL35&amp;"-*",Drivers!H$11:H$222)</f>
        <v>0</v>
      </c>
      <c r="AV35">
        <f ca="1">SUMIF(Drivers!$B$11:$B$222,"*-"&amp;Constructors!$AL35&amp;"-*",Drivers!I$11:I$222)</f>
        <v>0</v>
      </c>
      <c r="AW35">
        <f ca="1">SUMIF(Drivers!$B$11:$B$222,"*-"&amp;Constructors!$AL35&amp;"-*",Drivers!J$11:J$222)</f>
        <v>0</v>
      </c>
      <c r="AY35">
        <f ca="1">SUMIF(Drivers!$B$11:$B$222,"*-"&amp;Constructors!$AL35&amp;"-*",Drivers!K$11:K$222)</f>
        <v>0</v>
      </c>
      <c r="AZ35">
        <f ca="1">SUMIF(Drivers!$B$11:$B$222,"*-"&amp;Constructors!$AL35&amp;"-*",Drivers!L$11:L$222)</f>
        <v>0</v>
      </c>
      <c r="BB35">
        <f ca="1">SUMIF(Drivers!$B$11:$B$222,"*-"&amp;Constructors!$AL35&amp;"-*",Drivers!M$11:M$222)</f>
        <v>0</v>
      </c>
      <c r="BC35">
        <f ca="1">SUMIF(Drivers!$B$11:$B$222,"*-"&amp;Constructors!$AL35&amp;"-*",Drivers!N$11:N$222)</f>
        <v>0</v>
      </c>
      <c r="BE35">
        <f ca="1">SUMIF(Drivers!$B$11:$B$222,"*-"&amp;Constructors!$AL35&amp;"-*",Drivers!O$11:O$222)</f>
        <v>0</v>
      </c>
      <c r="BF35">
        <f ca="1">SUMIF(Drivers!$B$11:$B$222,"*-"&amp;Constructors!$AL35&amp;"-*",Drivers!P$11:P$222)</f>
        <v>0</v>
      </c>
      <c r="BG35">
        <f t="shared" ca="1" si="1"/>
        <v>0</v>
      </c>
    </row>
    <row r="36" spans="1:59" x14ac:dyDescent="0.25">
      <c r="A36" t="str">
        <f ca="1"/>
        <v>Full Blue Racing</v>
      </c>
      <c r="B36" t="str">
        <f ca="1"/>
        <v>CAMA</v>
      </c>
      <c r="C36">
        <f ca="1"/>
        <v>11</v>
      </c>
      <c r="D36">
        <f ca="1"/>
        <v>12</v>
      </c>
      <c r="E36">
        <f ca="1"/>
        <v>14</v>
      </c>
      <c r="F36">
        <f ca="1"/>
        <v>0</v>
      </c>
      <c r="G36">
        <f ca="1"/>
        <v>0</v>
      </c>
      <c r="H36">
        <f ca="1"/>
        <v>0</v>
      </c>
      <c r="I36">
        <f ca="1"/>
        <v>0</v>
      </c>
      <c r="J36">
        <f ca="1"/>
        <v>0</v>
      </c>
      <c r="K36">
        <f ca="1"/>
        <v>0</v>
      </c>
      <c r="L36">
        <f ca="1"/>
        <v>0</v>
      </c>
      <c r="M36">
        <f ca="1"/>
        <v>0</v>
      </c>
      <c r="N36">
        <f ca="1"/>
        <v>0</v>
      </c>
      <c r="O36">
        <f ca="1"/>
        <v>0</v>
      </c>
      <c r="P36">
        <f ca="1"/>
        <v>0</v>
      </c>
      <c r="Q36">
        <f ca="1"/>
        <v>0</v>
      </c>
      <c r="R36">
        <f ca="1"/>
        <v>0</v>
      </c>
      <c r="S36">
        <f ca="1"/>
        <v>0</v>
      </c>
      <c r="T36">
        <f ca="1"/>
        <v>0</v>
      </c>
      <c r="U36">
        <f ca="1"/>
        <v>0</v>
      </c>
      <c r="V36">
        <f ca="1"/>
        <v>0</v>
      </c>
      <c r="W36">
        <f ca="1"/>
        <v>26</v>
      </c>
      <c r="X36" t="str">
        <f t="shared" ca="1" si="0"/>
        <v>CAMA</v>
      </c>
      <c r="Y36">
        <v>34</v>
      </c>
      <c r="AK36" t="s">
        <v>281</v>
      </c>
      <c r="AL36" t="s">
        <v>170</v>
      </c>
      <c r="AM36">
        <v>34</v>
      </c>
      <c r="AN36">
        <f ca="1">SUMIF(Drivers!$B$11:$B$222,"*-"&amp;Constructors!$AL36&amp;"-*",Drivers!C$11:C$222)</f>
        <v>6</v>
      </c>
      <c r="AO36">
        <f ca="1">SUMIF(Drivers!$B$11:$B$222,"*-"&amp;Constructors!$AL36&amp;"-*",Drivers!D$11:D$222)</f>
        <v>1</v>
      </c>
      <c r="AQ36">
        <f ca="1">SUMIF(Drivers!$B$11:$B$222,"*-"&amp;Constructors!$AL36&amp;"-*",Drivers!E$11:E$222)</f>
        <v>0</v>
      </c>
      <c r="AR36">
        <f ca="1">SUMIF(Drivers!$B$11:$B$222,"*-"&amp;Constructors!$AL36&amp;"-*",Drivers!F$11:F$222)</f>
        <v>2</v>
      </c>
      <c r="AS36">
        <f ca="1">SUMIF(Drivers!$B$11:$B$222,"*-"&amp;Constructors!$AL36&amp;"-*",Drivers!G$11:G$222)</f>
        <v>0</v>
      </c>
      <c r="AT36">
        <f ca="1">SUMIF(Drivers!$B$11:$B$222,"*-"&amp;Constructors!$AL36&amp;"-*",Drivers!H$11:H$222)</f>
        <v>0</v>
      </c>
      <c r="AV36">
        <f ca="1">SUMIF(Drivers!$B$11:$B$222,"*-"&amp;Constructors!$AL36&amp;"-*",Drivers!I$11:I$222)</f>
        <v>0</v>
      </c>
      <c r="AW36">
        <f ca="1">SUMIF(Drivers!$B$11:$B$222,"*-"&amp;Constructors!$AL36&amp;"-*",Drivers!J$11:J$222)</f>
        <v>0</v>
      </c>
      <c r="AY36">
        <f ca="1">SUMIF(Drivers!$B$11:$B$222,"*-"&amp;Constructors!$AL36&amp;"-*",Drivers!K$11:K$222)</f>
        <v>0</v>
      </c>
      <c r="AZ36">
        <f ca="1">SUMIF(Drivers!$B$11:$B$222,"*-"&amp;Constructors!$AL36&amp;"-*",Drivers!L$11:L$222)</f>
        <v>0</v>
      </c>
      <c r="BB36">
        <f ca="1">SUMIF(Drivers!$B$11:$B$222,"*-"&amp;Constructors!$AL36&amp;"-*",Drivers!M$11:M$222)</f>
        <v>0</v>
      </c>
      <c r="BC36">
        <f ca="1">SUMIF(Drivers!$B$11:$B$222,"*-"&amp;Constructors!$AL36&amp;"-*",Drivers!N$11:N$222)</f>
        <v>0</v>
      </c>
      <c r="BE36">
        <f ca="1">SUMIF(Drivers!$B$11:$B$222,"*-"&amp;Constructors!$AL36&amp;"-*",Drivers!O$11:O$222)</f>
        <v>0</v>
      </c>
      <c r="BF36">
        <f ca="1">SUMIF(Drivers!$B$11:$B$222,"*-"&amp;Constructors!$AL36&amp;"-*",Drivers!P$11:P$222)</f>
        <v>0</v>
      </c>
      <c r="BG36">
        <f t="shared" ca="1" si="1"/>
        <v>9</v>
      </c>
    </row>
    <row r="37" spans="1:59" x14ac:dyDescent="0.25">
      <c r="A37" t="str">
        <f ca="1"/>
        <v>Lassonde Motorsports</v>
      </c>
      <c r="B37" t="str">
        <f ca="1"/>
        <v>LASS</v>
      </c>
      <c r="C37">
        <f ca="1"/>
        <v>15</v>
      </c>
      <c r="D37">
        <f ca="1"/>
        <v>5</v>
      </c>
      <c r="E37">
        <f ca="1"/>
        <v>20</v>
      </c>
      <c r="F37">
        <f ca="1"/>
        <v>0</v>
      </c>
      <c r="G37">
        <f ca="1"/>
        <v>0</v>
      </c>
      <c r="H37">
        <f ca="1"/>
        <v>0</v>
      </c>
      <c r="I37">
        <f ca="1"/>
        <v>0</v>
      </c>
      <c r="J37">
        <f ca="1"/>
        <v>0</v>
      </c>
      <c r="K37">
        <f ca="1"/>
        <v>0</v>
      </c>
      <c r="L37">
        <f ca="1"/>
        <v>0</v>
      </c>
      <c r="M37">
        <f ca="1"/>
        <v>0</v>
      </c>
      <c r="N37">
        <f ca="1"/>
        <v>0</v>
      </c>
      <c r="O37">
        <f ca="1"/>
        <v>0</v>
      </c>
      <c r="P37">
        <f ca="1"/>
        <v>0</v>
      </c>
      <c r="Q37">
        <f ca="1"/>
        <v>0</v>
      </c>
      <c r="R37">
        <f ca="1"/>
        <v>0</v>
      </c>
      <c r="S37">
        <f ca="1"/>
        <v>0</v>
      </c>
      <c r="T37">
        <f ca="1"/>
        <v>0</v>
      </c>
      <c r="U37">
        <f ca="1"/>
        <v>0</v>
      </c>
      <c r="V37">
        <f ca="1"/>
        <v>0</v>
      </c>
      <c r="W37">
        <f ca="1"/>
        <v>25</v>
      </c>
      <c r="X37" t="str">
        <f t="shared" ca="1" si="0"/>
        <v>LASS</v>
      </c>
      <c r="Y37">
        <v>35</v>
      </c>
      <c r="AK37" t="s">
        <v>282</v>
      </c>
      <c r="AL37" t="s">
        <v>174</v>
      </c>
      <c r="AM37">
        <v>35</v>
      </c>
      <c r="AN37">
        <f ca="1">SUMIF(Drivers!$B$11:$B$222,"*-"&amp;Constructors!$AL37&amp;"-*",Drivers!C$11:C$222)</f>
        <v>29</v>
      </c>
      <c r="AO37">
        <f ca="1">SUMIF(Drivers!$B$11:$B$222,"*-"&amp;Constructors!$AL37&amp;"-*",Drivers!D$11:D$222)</f>
        <v>26</v>
      </c>
      <c r="AP37">
        <v>40</v>
      </c>
      <c r="AQ37">
        <f ca="1">SUMIF(Drivers!$B$11:$B$222,"*-"&amp;Constructors!$AL37&amp;"-*",Drivers!E$11:E$222)</f>
        <v>19</v>
      </c>
      <c r="AR37">
        <f ca="1">SUMIF(Drivers!$B$11:$B$222,"*-"&amp;Constructors!$AL37&amp;"-*",Drivers!F$11:F$222)</f>
        <v>28</v>
      </c>
      <c r="AS37">
        <f ca="1">SUMIF(Drivers!$B$11:$B$222,"*-"&amp;Constructors!$AL37&amp;"-*",Drivers!G$11:G$222)</f>
        <v>0</v>
      </c>
      <c r="AT37">
        <f ca="1">SUMIF(Drivers!$B$11:$B$222,"*-"&amp;Constructors!$AL37&amp;"-*",Drivers!H$11:H$222)</f>
        <v>0</v>
      </c>
      <c r="AV37">
        <f ca="1">SUMIF(Drivers!$B$11:$B$222,"*-"&amp;Constructors!$AL37&amp;"-*",Drivers!I$11:I$222)</f>
        <v>0</v>
      </c>
      <c r="AW37">
        <f ca="1">SUMIF(Drivers!$B$11:$B$222,"*-"&amp;Constructors!$AL37&amp;"-*",Drivers!J$11:J$222)</f>
        <v>0</v>
      </c>
      <c r="AY37">
        <f ca="1">SUMIF(Drivers!$B$11:$B$222,"*-"&amp;Constructors!$AL37&amp;"-*",Drivers!K$11:K$222)</f>
        <v>0</v>
      </c>
      <c r="AZ37">
        <f ca="1">SUMIF(Drivers!$B$11:$B$222,"*-"&amp;Constructors!$AL37&amp;"-*",Drivers!L$11:L$222)</f>
        <v>0</v>
      </c>
      <c r="BB37">
        <f ca="1">SUMIF(Drivers!$B$11:$B$222,"*-"&amp;Constructors!$AL37&amp;"-*",Drivers!M$11:M$222)</f>
        <v>0</v>
      </c>
      <c r="BC37">
        <f ca="1">SUMIF(Drivers!$B$11:$B$222,"*-"&amp;Constructors!$AL37&amp;"-*",Drivers!N$11:N$222)</f>
        <v>0</v>
      </c>
      <c r="BE37">
        <f ca="1">SUMIF(Drivers!$B$11:$B$222,"*-"&amp;Constructors!$AL37&amp;"-*",Drivers!O$11:O$222)</f>
        <v>0</v>
      </c>
      <c r="BF37">
        <f ca="1">SUMIF(Drivers!$B$11:$B$222,"*-"&amp;Constructors!$AL37&amp;"-*",Drivers!P$11:P$222)</f>
        <v>0</v>
      </c>
      <c r="BG37">
        <f t="shared" ca="1" si="1"/>
        <v>142</v>
      </c>
    </row>
    <row r="38" spans="1:59" x14ac:dyDescent="0.25">
      <c r="A38" t="str">
        <f ca="1"/>
        <v>Formula Student Team Napier</v>
      </c>
      <c r="B38" t="str">
        <f ca="1"/>
        <v>FSTN</v>
      </c>
      <c r="C38">
        <f ca="1"/>
        <v>18</v>
      </c>
      <c r="D38">
        <f ca="1"/>
        <v>19</v>
      </c>
      <c r="E38">
        <f ca="1"/>
        <v>0</v>
      </c>
      <c r="F38">
        <f ca="1"/>
        <v>0</v>
      </c>
      <c r="G38">
        <f ca="1"/>
        <v>6</v>
      </c>
      <c r="H38">
        <f ca="1"/>
        <v>0</v>
      </c>
      <c r="I38">
        <f ca="1"/>
        <v>0</v>
      </c>
      <c r="J38">
        <f ca="1"/>
        <v>0</v>
      </c>
      <c r="K38">
        <f ca="1"/>
        <v>0</v>
      </c>
      <c r="L38">
        <f ca="1"/>
        <v>0</v>
      </c>
      <c r="M38">
        <f ca="1"/>
        <v>0</v>
      </c>
      <c r="N38">
        <f ca="1"/>
        <v>0</v>
      </c>
      <c r="O38">
        <f ca="1"/>
        <v>0</v>
      </c>
      <c r="P38">
        <f ca="1"/>
        <v>0</v>
      </c>
      <c r="Q38">
        <f ca="1"/>
        <v>0</v>
      </c>
      <c r="R38">
        <f ca="1"/>
        <v>0</v>
      </c>
      <c r="S38">
        <f ca="1"/>
        <v>0</v>
      </c>
      <c r="T38">
        <f ca="1"/>
        <v>0</v>
      </c>
      <c r="U38">
        <f ca="1"/>
        <v>0</v>
      </c>
      <c r="V38">
        <f ca="1"/>
        <v>0</v>
      </c>
      <c r="W38">
        <f ca="1"/>
        <v>25</v>
      </c>
      <c r="X38" t="str">
        <f t="shared" ca="1" si="0"/>
        <v>FSTN</v>
      </c>
      <c r="Y38">
        <v>36</v>
      </c>
      <c r="AK38" t="s">
        <v>283</v>
      </c>
      <c r="AL38" t="s">
        <v>175</v>
      </c>
      <c r="AM38">
        <v>36</v>
      </c>
      <c r="AN38">
        <f ca="1">SUMIF(Drivers!$B$11:$B$222,"*-"&amp;Constructors!$AL38&amp;"-*",Drivers!C$11:C$222)</f>
        <v>14</v>
      </c>
      <c r="AO38">
        <f ca="1">SUMIF(Drivers!$B$11:$B$222,"*-"&amp;Constructors!$AL38&amp;"-*",Drivers!D$11:D$222)</f>
        <v>19</v>
      </c>
      <c r="AP38">
        <v>20</v>
      </c>
      <c r="AQ38">
        <f ca="1">SUMIF(Drivers!$B$11:$B$222,"*-"&amp;Constructors!$AL38&amp;"-*",Drivers!E$11:E$222)</f>
        <v>32</v>
      </c>
      <c r="AR38">
        <f ca="1">SUMIF(Drivers!$B$11:$B$222,"*-"&amp;Constructors!$AL38&amp;"-*",Drivers!F$11:F$222)</f>
        <v>18</v>
      </c>
      <c r="AS38">
        <f ca="1">SUMIF(Drivers!$B$11:$B$222,"*-"&amp;Constructors!$AL38&amp;"-*",Drivers!G$11:G$222)</f>
        <v>0</v>
      </c>
      <c r="AT38">
        <f ca="1">SUMIF(Drivers!$B$11:$B$222,"*-"&amp;Constructors!$AL38&amp;"-*",Drivers!H$11:H$222)</f>
        <v>0</v>
      </c>
      <c r="AV38">
        <f ca="1">SUMIF(Drivers!$B$11:$B$222,"*-"&amp;Constructors!$AL38&amp;"-*",Drivers!I$11:I$222)</f>
        <v>0</v>
      </c>
      <c r="AW38">
        <f ca="1">SUMIF(Drivers!$B$11:$B$222,"*-"&amp;Constructors!$AL38&amp;"-*",Drivers!J$11:J$222)</f>
        <v>0</v>
      </c>
      <c r="AY38">
        <f ca="1">SUMIF(Drivers!$B$11:$B$222,"*-"&amp;Constructors!$AL38&amp;"-*",Drivers!K$11:K$222)</f>
        <v>0</v>
      </c>
      <c r="AZ38">
        <f ca="1">SUMIF(Drivers!$B$11:$B$222,"*-"&amp;Constructors!$AL38&amp;"-*",Drivers!L$11:L$222)</f>
        <v>0</v>
      </c>
      <c r="BB38">
        <f ca="1">SUMIF(Drivers!$B$11:$B$222,"*-"&amp;Constructors!$AL38&amp;"-*",Drivers!M$11:M$222)</f>
        <v>0</v>
      </c>
      <c r="BC38">
        <f ca="1">SUMIF(Drivers!$B$11:$B$222,"*-"&amp;Constructors!$AL38&amp;"-*",Drivers!N$11:N$222)</f>
        <v>0</v>
      </c>
      <c r="BE38">
        <f ca="1">SUMIF(Drivers!$B$11:$B$222,"*-"&amp;Constructors!$AL38&amp;"-*",Drivers!O$11:O$222)</f>
        <v>0</v>
      </c>
      <c r="BF38">
        <f ca="1">SUMIF(Drivers!$B$11:$B$222,"*-"&amp;Constructors!$AL38&amp;"-*",Drivers!P$11:P$222)</f>
        <v>0</v>
      </c>
      <c r="BG38">
        <f t="shared" ca="1" si="1"/>
        <v>103</v>
      </c>
    </row>
    <row r="39" spans="1:59" x14ac:dyDescent="0.25">
      <c r="A39" t="str">
        <f ca="1"/>
        <v>HWRacing</v>
      </c>
      <c r="B39" t="str">
        <f ca="1"/>
        <v>HW</v>
      </c>
      <c r="C39">
        <f ca="1"/>
        <v>22</v>
      </c>
      <c r="D39">
        <f ca="1"/>
        <v>0</v>
      </c>
      <c r="E39">
        <f ca="1"/>
        <v>16</v>
      </c>
      <c r="F39">
        <f ca="1"/>
        <v>0</v>
      </c>
      <c r="G39">
        <f ca="1"/>
        <v>4</v>
      </c>
      <c r="H39">
        <f ca="1"/>
        <v>3</v>
      </c>
      <c r="I39">
        <f ca="1"/>
        <v>0</v>
      </c>
      <c r="J39">
        <f ca="1"/>
        <v>0</v>
      </c>
      <c r="K39">
        <f ca="1"/>
        <v>0</v>
      </c>
      <c r="L39">
        <f ca="1"/>
        <v>0</v>
      </c>
      <c r="M39">
        <f ca="1"/>
        <v>0</v>
      </c>
      <c r="N39">
        <f ca="1"/>
        <v>0</v>
      </c>
      <c r="O39">
        <f ca="1"/>
        <v>0</v>
      </c>
      <c r="P39">
        <f ca="1"/>
        <v>0</v>
      </c>
      <c r="Q39">
        <f ca="1"/>
        <v>0</v>
      </c>
      <c r="R39">
        <f ca="1"/>
        <v>0</v>
      </c>
      <c r="S39">
        <f ca="1"/>
        <v>0</v>
      </c>
      <c r="T39">
        <f ca="1"/>
        <v>0</v>
      </c>
      <c r="U39">
        <f ca="1"/>
        <v>0</v>
      </c>
      <c r="V39">
        <f ca="1"/>
        <v>0</v>
      </c>
      <c r="W39">
        <f ca="1"/>
        <v>23</v>
      </c>
      <c r="X39" t="str">
        <f t="shared" ca="1" si="0"/>
        <v>HW</v>
      </c>
      <c r="Y39">
        <v>37</v>
      </c>
      <c r="AK39" t="s">
        <v>284</v>
      </c>
      <c r="AL39" t="s">
        <v>178</v>
      </c>
      <c r="AM39">
        <v>37</v>
      </c>
      <c r="AN39">
        <f ca="1">SUMIF(Drivers!$B$11:$B$222,"*-"&amp;Constructors!$AL39&amp;"-*",Drivers!C$11:C$222)</f>
        <v>17</v>
      </c>
      <c r="AO39">
        <f ca="1">SUMIF(Drivers!$B$11:$B$222,"*-"&amp;Constructors!$AL39&amp;"-*",Drivers!D$11:D$222)</f>
        <v>7</v>
      </c>
      <c r="AQ39">
        <f ca="1">SUMIF(Drivers!$B$11:$B$222,"*-"&amp;Constructors!$AL39&amp;"-*",Drivers!E$11:E$222)</f>
        <v>3</v>
      </c>
      <c r="AR39">
        <f ca="1">SUMIF(Drivers!$B$11:$B$222,"*-"&amp;Constructors!$AL39&amp;"-*",Drivers!F$11:F$222)</f>
        <v>34</v>
      </c>
      <c r="AS39">
        <f ca="1">SUMIF(Drivers!$B$11:$B$222,"*-"&amp;Constructors!$AL39&amp;"-*",Drivers!G$11:G$222)</f>
        <v>0</v>
      </c>
      <c r="AT39">
        <f ca="1">SUMIF(Drivers!$B$11:$B$222,"*-"&amp;Constructors!$AL39&amp;"-*",Drivers!H$11:H$222)</f>
        <v>0</v>
      </c>
      <c r="AV39">
        <f ca="1">SUMIF(Drivers!$B$11:$B$222,"*-"&amp;Constructors!$AL39&amp;"-*",Drivers!I$11:I$222)</f>
        <v>0</v>
      </c>
      <c r="AW39">
        <f ca="1">SUMIF(Drivers!$B$11:$B$222,"*-"&amp;Constructors!$AL39&amp;"-*",Drivers!J$11:J$222)</f>
        <v>0</v>
      </c>
      <c r="AY39">
        <f ca="1">SUMIF(Drivers!$B$11:$B$222,"*-"&amp;Constructors!$AL39&amp;"-*",Drivers!K$11:K$222)</f>
        <v>0</v>
      </c>
      <c r="AZ39">
        <f ca="1">SUMIF(Drivers!$B$11:$B$222,"*-"&amp;Constructors!$AL39&amp;"-*",Drivers!L$11:L$222)</f>
        <v>0</v>
      </c>
      <c r="BB39">
        <f ca="1">SUMIF(Drivers!$B$11:$B$222,"*-"&amp;Constructors!$AL39&amp;"-*",Drivers!M$11:M$222)</f>
        <v>0</v>
      </c>
      <c r="BC39">
        <f ca="1">SUMIF(Drivers!$B$11:$B$222,"*-"&amp;Constructors!$AL39&amp;"-*",Drivers!N$11:N$222)</f>
        <v>0</v>
      </c>
      <c r="BE39">
        <f ca="1">SUMIF(Drivers!$B$11:$B$222,"*-"&amp;Constructors!$AL39&amp;"-*",Drivers!O$11:O$222)</f>
        <v>0</v>
      </c>
      <c r="BF39">
        <f ca="1">SUMIF(Drivers!$B$11:$B$222,"*-"&amp;Constructors!$AL39&amp;"-*",Drivers!P$11:P$222)</f>
        <v>0</v>
      </c>
      <c r="BG39">
        <f t="shared" ca="1" si="1"/>
        <v>61</v>
      </c>
    </row>
    <row r="40" spans="1:59" x14ac:dyDescent="0.25">
      <c r="A40" t="str">
        <f ca="1"/>
        <v>Kingston Racing</v>
      </c>
      <c r="B40" t="str">
        <f ca="1"/>
        <v>KING</v>
      </c>
      <c r="C40">
        <f ca="1"/>
        <v>12</v>
      </c>
      <c r="D40">
        <f ca="1"/>
        <v>1</v>
      </c>
      <c r="E40">
        <f ca="1"/>
        <v>0</v>
      </c>
      <c r="F40">
        <f ca="1"/>
        <v>0</v>
      </c>
      <c r="G40">
        <f ca="1"/>
        <v>0</v>
      </c>
      <c r="H40">
        <f ca="1"/>
        <v>15</v>
      </c>
      <c r="I40">
        <f ca="1"/>
        <v>0</v>
      </c>
      <c r="J40">
        <f ca="1"/>
        <v>0</v>
      </c>
      <c r="K40">
        <f ca="1"/>
        <v>0</v>
      </c>
      <c r="L40">
        <f ca="1"/>
        <v>0</v>
      </c>
      <c r="M40">
        <f ca="1"/>
        <v>0</v>
      </c>
      <c r="N40">
        <f ca="1"/>
        <v>0</v>
      </c>
      <c r="O40">
        <f ca="1"/>
        <v>0</v>
      </c>
      <c r="P40">
        <f ca="1"/>
        <v>0</v>
      </c>
      <c r="Q40">
        <f ca="1"/>
        <v>0</v>
      </c>
      <c r="R40">
        <f ca="1"/>
        <v>0</v>
      </c>
      <c r="S40">
        <f ca="1"/>
        <v>0</v>
      </c>
      <c r="T40">
        <f ca="1"/>
        <v>0</v>
      </c>
      <c r="U40">
        <f ca="1"/>
        <v>0</v>
      </c>
      <c r="V40">
        <f ca="1"/>
        <v>0</v>
      </c>
      <c r="W40">
        <f ca="1"/>
        <v>16</v>
      </c>
      <c r="X40" t="str">
        <f t="shared" ca="1" si="0"/>
        <v>KING</v>
      </c>
      <c r="Y40">
        <v>38</v>
      </c>
      <c r="AK40" t="s">
        <v>285</v>
      </c>
      <c r="AL40" t="s">
        <v>183</v>
      </c>
      <c r="AM40">
        <v>38</v>
      </c>
      <c r="AN40">
        <f ca="1">SUMIF(Drivers!$B$11:$B$222,"*-"&amp;Constructors!$AL40&amp;"-*",Drivers!C$11:C$222)</f>
        <v>36</v>
      </c>
      <c r="AO40">
        <f ca="1">SUMIF(Drivers!$B$11:$B$222,"*-"&amp;Constructors!$AL40&amp;"-*",Drivers!D$11:D$222)</f>
        <v>8</v>
      </c>
      <c r="AQ40">
        <f ca="1">SUMIF(Drivers!$B$11:$B$222,"*-"&amp;Constructors!$AL40&amp;"-*",Drivers!E$11:E$222)</f>
        <v>20</v>
      </c>
      <c r="AR40">
        <f ca="1">SUMIF(Drivers!$B$11:$B$222,"*-"&amp;Constructors!$AL40&amp;"-*",Drivers!F$11:F$222)</f>
        <v>24</v>
      </c>
      <c r="AS40">
        <f ca="1">SUMIF(Drivers!$B$11:$B$222,"*-"&amp;Constructors!$AL40&amp;"-*",Drivers!G$11:G$222)</f>
        <v>0</v>
      </c>
      <c r="AT40">
        <f ca="1">SUMIF(Drivers!$B$11:$B$222,"*-"&amp;Constructors!$AL40&amp;"-*",Drivers!H$11:H$222)</f>
        <v>0</v>
      </c>
      <c r="AV40">
        <f ca="1">SUMIF(Drivers!$B$11:$B$222,"*-"&amp;Constructors!$AL40&amp;"-*",Drivers!I$11:I$222)</f>
        <v>0</v>
      </c>
      <c r="AW40">
        <f ca="1">SUMIF(Drivers!$B$11:$B$222,"*-"&amp;Constructors!$AL40&amp;"-*",Drivers!J$11:J$222)</f>
        <v>0</v>
      </c>
      <c r="AY40">
        <f ca="1">SUMIF(Drivers!$B$11:$B$222,"*-"&amp;Constructors!$AL40&amp;"-*",Drivers!K$11:K$222)</f>
        <v>0</v>
      </c>
      <c r="AZ40">
        <f ca="1">SUMIF(Drivers!$B$11:$B$222,"*-"&amp;Constructors!$AL40&amp;"-*",Drivers!L$11:L$222)</f>
        <v>0</v>
      </c>
      <c r="BB40">
        <f ca="1">SUMIF(Drivers!$B$11:$B$222,"*-"&amp;Constructors!$AL40&amp;"-*",Drivers!M$11:M$222)</f>
        <v>0</v>
      </c>
      <c r="BC40">
        <f ca="1">SUMIF(Drivers!$B$11:$B$222,"*-"&amp;Constructors!$AL40&amp;"-*",Drivers!N$11:N$222)</f>
        <v>0</v>
      </c>
      <c r="BE40">
        <f ca="1">SUMIF(Drivers!$B$11:$B$222,"*-"&amp;Constructors!$AL40&amp;"-*",Drivers!O$11:O$222)</f>
        <v>0</v>
      </c>
      <c r="BF40">
        <f ca="1">SUMIF(Drivers!$B$11:$B$222,"*-"&amp;Constructors!$AL40&amp;"-*",Drivers!P$11:P$222)</f>
        <v>0</v>
      </c>
      <c r="BG40">
        <f t="shared" ca="1" si="1"/>
        <v>88</v>
      </c>
    </row>
    <row r="41" spans="1:59" x14ac:dyDescent="0.25">
      <c r="A41" t="str">
        <f ca="1"/>
        <v>NTU Racing</v>
      </c>
      <c r="B41" t="str">
        <f ca="1"/>
        <v>NTU</v>
      </c>
      <c r="C41">
        <f ca="1"/>
        <v>44</v>
      </c>
      <c r="D41">
        <f ca="1"/>
        <v>0</v>
      </c>
      <c r="E41">
        <f ca="1"/>
        <v>3</v>
      </c>
      <c r="F41">
        <f ca="1"/>
        <v>0</v>
      </c>
      <c r="G41">
        <f ca="1"/>
        <v>0</v>
      </c>
      <c r="H41">
        <f ca="1"/>
        <v>10</v>
      </c>
      <c r="I41">
        <f ca="1"/>
        <v>0</v>
      </c>
      <c r="J41">
        <f ca="1"/>
        <v>0</v>
      </c>
      <c r="K41">
        <f ca="1"/>
        <v>0</v>
      </c>
      <c r="L41">
        <f ca="1"/>
        <v>0</v>
      </c>
      <c r="M41">
        <f ca="1"/>
        <v>0</v>
      </c>
      <c r="N41">
        <f ca="1"/>
        <v>0</v>
      </c>
      <c r="O41">
        <f ca="1"/>
        <v>0</v>
      </c>
      <c r="P41">
        <f ca="1"/>
        <v>0</v>
      </c>
      <c r="Q41">
        <f ca="1"/>
        <v>0</v>
      </c>
      <c r="R41">
        <f ca="1"/>
        <v>0</v>
      </c>
      <c r="S41">
        <f ca="1"/>
        <v>0</v>
      </c>
      <c r="T41">
        <f ca="1"/>
        <v>0</v>
      </c>
      <c r="U41">
        <f ca="1"/>
        <v>0</v>
      </c>
      <c r="V41">
        <f ca="1"/>
        <v>0</v>
      </c>
      <c r="W41">
        <f ca="1"/>
        <v>13</v>
      </c>
      <c r="X41" t="str">
        <f t="shared" ca="1" si="0"/>
        <v>NTU</v>
      </c>
      <c r="Y41">
        <v>39</v>
      </c>
      <c r="AK41" t="s">
        <v>286</v>
      </c>
      <c r="AL41" t="s">
        <v>187</v>
      </c>
      <c r="AM41">
        <v>39</v>
      </c>
      <c r="AN41">
        <f ca="1">SUMIF(Drivers!$B$11:$B$222,"*-"&amp;Constructors!$AL41&amp;"-*",Drivers!C$11:C$222)</f>
        <v>0</v>
      </c>
      <c r="AO41">
        <f ca="1">SUMIF(Drivers!$B$11:$B$222,"*-"&amp;Constructors!$AL41&amp;"-*",Drivers!D$11:D$222)</f>
        <v>0</v>
      </c>
      <c r="AQ41">
        <f ca="1">SUMIF(Drivers!$B$11:$B$222,"*-"&amp;Constructors!$AL41&amp;"-*",Drivers!E$11:E$222)</f>
        <v>0</v>
      </c>
      <c r="AR41">
        <f ca="1">SUMIF(Drivers!$B$11:$B$222,"*-"&amp;Constructors!$AL41&amp;"-*",Drivers!F$11:F$222)</f>
        <v>0</v>
      </c>
      <c r="AS41">
        <f ca="1">SUMIF(Drivers!$B$11:$B$222,"*-"&amp;Constructors!$AL41&amp;"-*",Drivers!G$11:G$222)</f>
        <v>0</v>
      </c>
      <c r="AT41">
        <f ca="1">SUMIF(Drivers!$B$11:$B$222,"*-"&amp;Constructors!$AL41&amp;"-*",Drivers!H$11:H$222)</f>
        <v>0</v>
      </c>
      <c r="AV41">
        <f ca="1">SUMIF(Drivers!$B$11:$B$222,"*-"&amp;Constructors!$AL41&amp;"-*",Drivers!I$11:I$222)</f>
        <v>0</v>
      </c>
      <c r="AW41">
        <f ca="1">SUMIF(Drivers!$B$11:$B$222,"*-"&amp;Constructors!$AL41&amp;"-*",Drivers!J$11:J$222)</f>
        <v>0</v>
      </c>
      <c r="AY41">
        <f ca="1">SUMIF(Drivers!$B$11:$B$222,"*-"&amp;Constructors!$AL41&amp;"-*",Drivers!K$11:K$222)</f>
        <v>0</v>
      </c>
      <c r="AZ41">
        <f ca="1">SUMIF(Drivers!$B$11:$B$222,"*-"&amp;Constructors!$AL41&amp;"-*",Drivers!L$11:L$222)</f>
        <v>0</v>
      </c>
      <c r="BB41">
        <f ca="1">SUMIF(Drivers!$B$11:$B$222,"*-"&amp;Constructors!$AL41&amp;"-*",Drivers!M$11:M$222)</f>
        <v>0</v>
      </c>
      <c r="BC41">
        <f ca="1">SUMIF(Drivers!$B$11:$B$222,"*-"&amp;Constructors!$AL41&amp;"-*",Drivers!N$11:N$222)</f>
        <v>0</v>
      </c>
      <c r="BE41">
        <f ca="1">SUMIF(Drivers!$B$11:$B$222,"*-"&amp;Constructors!$AL41&amp;"-*",Drivers!O$11:O$222)</f>
        <v>0</v>
      </c>
      <c r="BF41">
        <f ca="1">SUMIF(Drivers!$B$11:$B$222,"*-"&amp;Constructors!$AL41&amp;"-*",Drivers!P$11:P$222)</f>
        <v>0</v>
      </c>
      <c r="BG41">
        <f t="shared" ca="1" si="1"/>
        <v>0</v>
      </c>
    </row>
    <row r="42" spans="1:59" x14ac:dyDescent="0.25">
      <c r="A42" t="str">
        <f ca="1"/>
        <v>UG Racing B</v>
      </c>
      <c r="B42" t="str">
        <f ca="1"/>
        <v>UGRB</v>
      </c>
      <c r="C42">
        <f ca="1"/>
        <v>45</v>
      </c>
      <c r="D42">
        <f ca="1"/>
        <v>0</v>
      </c>
      <c r="E42">
        <f ca="1"/>
        <v>0</v>
      </c>
      <c r="F42">
        <f ca="1"/>
        <v>0</v>
      </c>
      <c r="G42">
        <f ca="1"/>
        <v>5</v>
      </c>
      <c r="H42">
        <f ca="1"/>
        <v>8</v>
      </c>
      <c r="I42">
        <f ca="1"/>
        <v>0</v>
      </c>
      <c r="J42">
        <f ca="1"/>
        <v>0</v>
      </c>
      <c r="K42">
        <f ca="1"/>
        <v>0</v>
      </c>
      <c r="L42">
        <f ca="1"/>
        <v>0</v>
      </c>
      <c r="M42">
        <f ca="1"/>
        <v>0</v>
      </c>
      <c r="N42">
        <f ca="1"/>
        <v>0</v>
      </c>
      <c r="O42">
        <f ca="1"/>
        <v>0</v>
      </c>
      <c r="P42">
        <f ca="1"/>
        <v>0</v>
      </c>
      <c r="Q42">
        <f ca="1"/>
        <v>0</v>
      </c>
      <c r="R42">
        <f ca="1"/>
        <v>0</v>
      </c>
      <c r="S42">
        <f ca="1"/>
        <v>0</v>
      </c>
      <c r="T42">
        <f ca="1"/>
        <v>0</v>
      </c>
      <c r="U42">
        <f ca="1"/>
        <v>0</v>
      </c>
      <c r="V42">
        <f ca="1"/>
        <v>0</v>
      </c>
      <c r="W42">
        <f ca="1"/>
        <v>13</v>
      </c>
      <c r="X42" t="str">
        <f t="shared" ca="1" si="0"/>
        <v>UGRB</v>
      </c>
      <c r="Y42">
        <v>40</v>
      </c>
      <c r="AK42" t="s">
        <v>287</v>
      </c>
      <c r="AL42" t="s">
        <v>190</v>
      </c>
      <c r="AM42">
        <v>40</v>
      </c>
      <c r="AN42">
        <f ca="1">SUMIF(Drivers!$B$11:$B$222,"*-"&amp;Constructors!$AL42&amp;"-*",Drivers!C$11:C$222)</f>
        <v>46</v>
      </c>
      <c r="AO42">
        <f ca="1">SUMIF(Drivers!$B$11:$B$222,"*-"&amp;Constructors!$AL42&amp;"-*",Drivers!D$11:D$222)</f>
        <v>50</v>
      </c>
      <c r="AP42">
        <v>32</v>
      </c>
      <c r="AQ42">
        <f ca="1">SUMIF(Drivers!$B$11:$B$222,"*-"&amp;Constructors!$AL42&amp;"-*",Drivers!E$11:E$222)</f>
        <v>26</v>
      </c>
      <c r="AR42">
        <f ca="1">SUMIF(Drivers!$B$11:$B$222,"*-"&amp;Constructors!$AL42&amp;"-*",Drivers!F$11:F$222)</f>
        <v>25</v>
      </c>
      <c r="AS42">
        <f ca="1">SUMIF(Drivers!$B$11:$B$222,"*-"&amp;Constructors!$AL42&amp;"-*",Drivers!G$11:G$222)</f>
        <v>0</v>
      </c>
      <c r="AT42">
        <f ca="1">SUMIF(Drivers!$B$11:$B$222,"*-"&amp;Constructors!$AL42&amp;"-*",Drivers!H$11:H$222)</f>
        <v>0</v>
      </c>
      <c r="AV42">
        <f ca="1">SUMIF(Drivers!$B$11:$B$222,"*-"&amp;Constructors!$AL42&amp;"-*",Drivers!I$11:I$222)</f>
        <v>0</v>
      </c>
      <c r="AW42">
        <f ca="1">SUMIF(Drivers!$B$11:$B$222,"*-"&amp;Constructors!$AL42&amp;"-*",Drivers!J$11:J$222)</f>
        <v>0</v>
      </c>
      <c r="AY42">
        <f ca="1">SUMIF(Drivers!$B$11:$B$222,"*-"&amp;Constructors!$AL42&amp;"-*",Drivers!K$11:K$222)</f>
        <v>0</v>
      </c>
      <c r="AZ42">
        <f ca="1">SUMIF(Drivers!$B$11:$B$222,"*-"&amp;Constructors!$AL42&amp;"-*",Drivers!L$11:L$222)</f>
        <v>0</v>
      </c>
      <c r="BB42">
        <f ca="1">SUMIF(Drivers!$B$11:$B$222,"*-"&amp;Constructors!$AL42&amp;"-*",Drivers!M$11:M$222)</f>
        <v>0</v>
      </c>
      <c r="BC42">
        <f ca="1">SUMIF(Drivers!$B$11:$B$222,"*-"&amp;Constructors!$AL42&amp;"-*",Drivers!N$11:N$222)</f>
        <v>0</v>
      </c>
      <c r="BE42">
        <f ca="1">SUMIF(Drivers!$B$11:$B$222,"*-"&amp;Constructors!$AL42&amp;"-*",Drivers!O$11:O$222)</f>
        <v>0</v>
      </c>
      <c r="BF42">
        <f ca="1">SUMIF(Drivers!$B$11:$B$222,"*-"&amp;Constructors!$AL42&amp;"-*",Drivers!P$11:P$222)</f>
        <v>0</v>
      </c>
      <c r="BG42">
        <f t="shared" ca="1" si="1"/>
        <v>179</v>
      </c>
    </row>
    <row r="43" spans="1:59" x14ac:dyDescent="0.25">
      <c r="A43" t="str">
        <f ca="1"/>
        <v>Jorvik Racing B</v>
      </c>
      <c r="B43" t="str">
        <f ca="1"/>
        <v>YORKB</v>
      </c>
      <c r="C43">
        <f ca="1"/>
        <v>34</v>
      </c>
      <c r="D43">
        <f ca="1"/>
        <v>6</v>
      </c>
      <c r="E43">
        <f ca="1"/>
        <v>1</v>
      </c>
      <c r="F43">
        <f ca="1"/>
        <v>0</v>
      </c>
      <c r="G43">
        <f ca="1"/>
        <v>0</v>
      </c>
      <c r="H43">
        <f ca="1"/>
        <v>2</v>
      </c>
      <c r="I43">
        <f ca="1"/>
        <v>0</v>
      </c>
      <c r="J43">
        <f ca="1"/>
        <v>0</v>
      </c>
      <c r="K43">
        <f ca="1"/>
        <v>0</v>
      </c>
      <c r="L43">
        <f ca="1"/>
        <v>0</v>
      </c>
      <c r="M43">
        <f ca="1"/>
        <v>0</v>
      </c>
      <c r="N43">
        <f ca="1"/>
        <v>0</v>
      </c>
      <c r="O43">
        <f ca="1"/>
        <v>0</v>
      </c>
      <c r="P43">
        <f ca="1"/>
        <v>0</v>
      </c>
      <c r="Q43">
        <f ca="1"/>
        <v>0</v>
      </c>
      <c r="R43">
        <f ca="1"/>
        <v>0</v>
      </c>
      <c r="S43">
        <f ca="1"/>
        <v>0</v>
      </c>
      <c r="T43">
        <f ca="1"/>
        <v>0</v>
      </c>
      <c r="U43">
        <f ca="1"/>
        <v>0</v>
      </c>
      <c r="V43">
        <f ca="1"/>
        <v>0</v>
      </c>
      <c r="W43">
        <f ca="1"/>
        <v>9</v>
      </c>
      <c r="X43" t="str">
        <f t="shared" ca="1" si="0"/>
        <v>YORKB</v>
      </c>
      <c r="Y43">
        <v>41</v>
      </c>
      <c r="AK43" t="s">
        <v>288</v>
      </c>
      <c r="AL43" t="s">
        <v>191</v>
      </c>
      <c r="AM43">
        <v>41</v>
      </c>
      <c r="AN43">
        <f ca="1">SUMIF(Drivers!$B$11:$B$222,"*-"&amp;Constructors!$AL43&amp;"-*",Drivers!C$11:C$222)</f>
        <v>15</v>
      </c>
      <c r="AO43">
        <f ca="1">SUMIF(Drivers!$B$11:$B$222,"*-"&amp;Constructors!$AL43&amp;"-*",Drivers!D$11:D$222)</f>
        <v>32</v>
      </c>
      <c r="AP43">
        <v>20</v>
      </c>
      <c r="AQ43">
        <f ca="1">SUMIF(Drivers!$B$11:$B$222,"*-"&amp;Constructors!$AL43&amp;"-*",Drivers!E$11:E$222)</f>
        <v>16</v>
      </c>
      <c r="AR43">
        <f ca="1">SUMIF(Drivers!$B$11:$B$222,"*-"&amp;Constructors!$AL43&amp;"-*",Drivers!F$11:F$222)</f>
        <v>26</v>
      </c>
      <c r="AS43">
        <f ca="1">SUMIF(Drivers!$B$11:$B$222,"*-"&amp;Constructors!$AL43&amp;"-*",Drivers!G$11:G$222)</f>
        <v>0</v>
      </c>
      <c r="AT43">
        <f ca="1">SUMIF(Drivers!$B$11:$B$222,"*-"&amp;Constructors!$AL43&amp;"-*",Drivers!H$11:H$222)</f>
        <v>0</v>
      </c>
      <c r="AV43">
        <f ca="1">SUMIF(Drivers!$B$11:$B$222,"*-"&amp;Constructors!$AL43&amp;"-*",Drivers!I$11:I$222)</f>
        <v>0</v>
      </c>
      <c r="AW43">
        <f ca="1">SUMIF(Drivers!$B$11:$B$222,"*-"&amp;Constructors!$AL43&amp;"-*",Drivers!J$11:J$222)</f>
        <v>0</v>
      </c>
      <c r="AY43">
        <f ca="1">SUMIF(Drivers!$B$11:$B$222,"*-"&amp;Constructors!$AL43&amp;"-*",Drivers!K$11:K$222)</f>
        <v>0</v>
      </c>
      <c r="AZ43">
        <f ca="1">SUMIF(Drivers!$B$11:$B$222,"*-"&amp;Constructors!$AL43&amp;"-*",Drivers!L$11:L$222)</f>
        <v>0</v>
      </c>
      <c r="BB43">
        <f ca="1">SUMIF(Drivers!$B$11:$B$222,"*-"&amp;Constructors!$AL43&amp;"-*",Drivers!M$11:M$222)</f>
        <v>0</v>
      </c>
      <c r="BC43">
        <f ca="1">SUMIF(Drivers!$B$11:$B$222,"*-"&amp;Constructors!$AL43&amp;"-*",Drivers!N$11:N$222)</f>
        <v>0</v>
      </c>
      <c r="BE43">
        <f ca="1">SUMIF(Drivers!$B$11:$B$222,"*-"&amp;Constructors!$AL43&amp;"-*",Drivers!O$11:O$222)</f>
        <v>0</v>
      </c>
      <c r="BF43">
        <f ca="1">SUMIF(Drivers!$B$11:$B$222,"*-"&amp;Constructors!$AL43&amp;"-*",Drivers!P$11:P$222)</f>
        <v>0</v>
      </c>
      <c r="BG43">
        <f t="shared" ca="1" si="1"/>
        <v>109</v>
      </c>
    </row>
    <row r="44" spans="1:59" x14ac:dyDescent="0.25">
      <c r="A44" t="str">
        <f ca="1"/>
        <v>Half Blue Racing</v>
      </c>
      <c r="B44" t="str">
        <f ca="1"/>
        <v>CAMB</v>
      </c>
      <c r="C44">
        <f ca="1"/>
        <v>26</v>
      </c>
      <c r="D44">
        <f ca="1"/>
        <v>0</v>
      </c>
      <c r="E44">
        <f ca="1"/>
        <v>0</v>
      </c>
      <c r="F44">
        <f ca="1"/>
        <v>0</v>
      </c>
      <c r="G44">
        <f ca="1"/>
        <v>2</v>
      </c>
      <c r="H44">
        <f ca="1"/>
        <v>1</v>
      </c>
      <c r="I44">
        <f ca="1"/>
        <v>0</v>
      </c>
      <c r="J44">
        <f ca="1"/>
        <v>0</v>
      </c>
      <c r="K44">
        <f ca="1"/>
        <v>0</v>
      </c>
      <c r="L44">
        <f ca="1"/>
        <v>0</v>
      </c>
      <c r="M44">
        <f ca="1"/>
        <v>0</v>
      </c>
      <c r="N44">
        <f ca="1"/>
        <v>0</v>
      </c>
      <c r="O44">
        <f ca="1"/>
        <v>0</v>
      </c>
      <c r="P44">
        <f ca="1"/>
        <v>0</v>
      </c>
      <c r="Q44">
        <f ca="1"/>
        <v>0</v>
      </c>
      <c r="R44">
        <f ca="1"/>
        <v>0</v>
      </c>
      <c r="S44">
        <f ca="1"/>
        <v>0</v>
      </c>
      <c r="T44">
        <f ca="1"/>
        <v>0</v>
      </c>
      <c r="U44">
        <f ca="1"/>
        <v>0</v>
      </c>
      <c r="V44">
        <f ca="1"/>
        <v>0</v>
      </c>
      <c r="W44">
        <f ca="1"/>
        <v>3</v>
      </c>
      <c r="X44" t="str">
        <f t="shared" ca="1" si="0"/>
        <v>CAMB</v>
      </c>
      <c r="Y44">
        <v>42</v>
      </c>
      <c r="AK44" t="s">
        <v>289</v>
      </c>
      <c r="AL44" t="s">
        <v>194</v>
      </c>
      <c r="AM44">
        <v>42</v>
      </c>
      <c r="AN44">
        <f ca="1">SUMIF(Drivers!$B$11:$B$222,"*-"&amp;Constructors!$AL44&amp;"-*",Drivers!C$11:C$222)</f>
        <v>0</v>
      </c>
      <c r="AO44">
        <f ca="1">SUMIF(Drivers!$B$11:$B$222,"*-"&amp;Constructors!$AL44&amp;"-*",Drivers!D$11:D$222)</f>
        <v>0</v>
      </c>
      <c r="AQ44">
        <f ca="1">SUMIF(Drivers!$B$11:$B$222,"*-"&amp;Constructors!$AL44&amp;"-*",Drivers!E$11:E$222)</f>
        <v>0</v>
      </c>
      <c r="AR44">
        <f ca="1">SUMIF(Drivers!$B$11:$B$222,"*-"&amp;Constructors!$AL44&amp;"-*",Drivers!F$11:F$222)</f>
        <v>0</v>
      </c>
      <c r="AS44">
        <f ca="1">SUMIF(Drivers!$B$11:$B$222,"*-"&amp;Constructors!$AL44&amp;"-*",Drivers!G$11:G$222)</f>
        <v>0</v>
      </c>
      <c r="AT44">
        <f ca="1">SUMIF(Drivers!$B$11:$B$222,"*-"&amp;Constructors!$AL44&amp;"-*",Drivers!H$11:H$222)</f>
        <v>0</v>
      </c>
      <c r="AV44">
        <f ca="1">SUMIF(Drivers!$B$11:$B$222,"*-"&amp;Constructors!$AL44&amp;"-*",Drivers!I$11:I$222)</f>
        <v>0</v>
      </c>
      <c r="AW44">
        <f ca="1">SUMIF(Drivers!$B$11:$B$222,"*-"&amp;Constructors!$AL44&amp;"-*",Drivers!J$11:J$222)</f>
        <v>0</v>
      </c>
      <c r="AY44">
        <f ca="1">SUMIF(Drivers!$B$11:$B$222,"*-"&amp;Constructors!$AL44&amp;"-*",Drivers!K$11:K$222)</f>
        <v>0</v>
      </c>
      <c r="AZ44">
        <f ca="1">SUMIF(Drivers!$B$11:$B$222,"*-"&amp;Constructors!$AL44&amp;"-*",Drivers!L$11:L$222)</f>
        <v>0</v>
      </c>
      <c r="BB44">
        <f ca="1">SUMIF(Drivers!$B$11:$B$222,"*-"&amp;Constructors!$AL44&amp;"-*",Drivers!M$11:M$222)</f>
        <v>0</v>
      </c>
      <c r="BC44">
        <f ca="1">SUMIF(Drivers!$B$11:$B$222,"*-"&amp;Constructors!$AL44&amp;"-*",Drivers!N$11:N$222)</f>
        <v>0</v>
      </c>
      <c r="BE44">
        <f ca="1">SUMIF(Drivers!$B$11:$B$222,"*-"&amp;Constructors!$AL44&amp;"-*",Drivers!O$11:O$222)</f>
        <v>0</v>
      </c>
      <c r="BF44">
        <f ca="1">SUMIF(Drivers!$B$11:$B$222,"*-"&amp;Constructors!$AL44&amp;"-*",Drivers!P$11:P$222)</f>
        <v>0</v>
      </c>
      <c r="BG44">
        <f t="shared" ca="1" si="1"/>
        <v>0</v>
      </c>
    </row>
    <row r="45" spans="1:59" x14ac:dyDescent="0.25">
      <c r="A45" t="str">
        <f ca="1"/>
        <v>OUSR - Oxford University Sim Racing</v>
      </c>
      <c r="B45" t="str">
        <f ca="1"/>
        <v>OUSR</v>
      </c>
      <c r="C45">
        <f ca="1"/>
        <v>13</v>
      </c>
      <c r="D45">
        <f ca="1"/>
        <v>0</v>
      </c>
      <c r="E45">
        <f ca="1"/>
        <v>0</v>
      </c>
      <c r="F45">
        <f ca="1"/>
        <v>0</v>
      </c>
      <c r="G45">
        <f ca="1"/>
        <v>0</v>
      </c>
      <c r="H45">
        <f ca="1"/>
        <v>0</v>
      </c>
      <c r="I45">
        <f ca="1"/>
        <v>0</v>
      </c>
      <c r="J45">
        <f ca="1"/>
        <v>0</v>
      </c>
      <c r="K45">
        <f ca="1"/>
        <v>0</v>
      </c>
      <c r="L45">
        <f ca="1"/>
        <v>0</v>
      </c>
      <c r="M45">
        <f ca="1"/>
        <v>0</v>
      </c>
      <c r="N45">
        <f ca="1"/>
        <v>0</v>
      </c>
      <c r="O45">
        <f ca="1"/>
        <v>0</v>
      </c>
      <c r="P45">
        <f ca="1"/>
        <v>0</v>
      </c>
      <c r="Q45">
        <f ca="1"/>
        <v>0</v>
      </c>
      <c r="R45">
        <f ca="1"/>
        <v>0</v>
      </c>
      <c r="S45">
        <f ca="1"/>
        <v>0</v>
      </c>
      <c r="T45">
        <f ca="1"/>
        <v>0</v>
      </c>
      <c r="U45">
        <f ca="1"/>
        <v>0</v>
      </c>
      <c r="V45">
        <f ca="1"/>
        <v>0</v>
      </c>
      <c r="W45">
        <f ca="1"/>
        <v>0</v>
      </c>
      <c r="X45" t="str">
        <f t="shared" ca="1" si="0"/>
        <v>OUSR</v>
      </c>
      <c r="Y45">
        <v>43</v>
      </c>
      <c r="AK45" t="s">
        <v>290</v>
      </c>
      <c r="AL45" t="s">
        <v>200</v>
      </c>
      <c r="AM45">
        <v>43</v>
      </c>
      <c r="AN45">
        <f ca="1">SUMIF(Drivers!$B$11:$B$222,"*-"&amp;Constructors!$AL45&amp;"-*",Drivers!C$11:C$222)</f>
        <v>26</v>
      </c>
      <c r="AO45">
        <f ca="1">SUMIF(Drivers!$B$11:$B$222,"*-"&amp;Constructors!$AL45&amp;"-*",Drivers!D$11:D$222)</f>
        <v>34</v>
      </c>
      <c r="AQ45">
        <f ca="1">SUMIF(Drivers!$B$11:$B$222,"*-"&amp;Constructors!$AL45&amp;"-*",Drivers!E$11:E$222)</f>
        <v>26</v>
      </c>
      <c r="AR45">
        <f ca="1">SUMIF(Drivers!$B$11:$B$222,"*-"&amp;Constructors!$AL45&amp;"-*",Drivers!F$11:F$222)</f>
        <v>38</v>
      </c>
      <c r="AS45">
        <f ca="1">SUMIF(Drivers!$B$11:$B$222,"*-"&amp;Constructors!$AL45&amp;"-*",Drivers!G$11:G$222)</f>
        <v>0</v>
      </c>
      <c r="AT45">
        <f ca="1">SUMIF(Drivers!$B$11:$B$222,"*-"&amp;Constructors!$AL45&amp;"-*",Drivers!H$11:H$222)</f>
        <v>0</v>
      </c>
      <c r="AV45">
        <f ca="1">SUMIF(Drivers!$B$11:$B$222,"*-"&amp;Constructors!$AL45&amp;"-*",Drivers!I$11:I$222)</f>
        <v>0</v>
      </c>
      <c r="AW45">
        <f ca="1">SUMIF(Drivers!$B$11:$B$222,"*-"&amp;Constructors!$AL45&amp;"-*",Drivers!J$11:J$222)</f>
        <v>0</v>
      </c>
      <c r="AY45">
        <f ca="1">SUMIF(Drivers!$B$11:$B$222,"*-"&amp;Constructors!$AL45&amp;"-*",Drivers!K$11:K$222)</f>
        <v>0</v>
      </c>
      <c r="AZ45">
        <f ca="1">SUMIF(Drivers!$B$11:$B$222,"*-"&amp;Constructors!$AL45&amp;"-*",Drivers!L$11:L$222)</f>
        <v>0</v>
      </c>
      <c r="BB45">
        <f ca="1">SUMIF(Drivers!$B$11:$B$222,"*-"&amp;Constructors!$AL45&amp;"-*",Drivers!M$11:M$222)</f>
        <v>0</v>
      </c>
      <c r="BC45">
        <f ca="1">SUMIF(Drivers!$B$11:$B$222,"*-"&amp;Constructors!$AL45&amp;"-*",Drivers!N$11:N$222)</f>
        <v>0</v>
      </c>
      <c r="BE45">
        <f ca="1">SUMIF(Drivers!$B$11:$B$222,"*-"&amp;Constructors!$AL45&amp;"-*",Drivers!O$11:O$222)</f>
        <v>0</v>
      </c>
      <c r="BF45">
        <f ca="1">SUMIF(Drivers!$B$11:$B$222,"*-"&amp;Constructors!$AL45&amp;"-*",Drivers!P$11:P$222)</f>
        <v>0</v>
      </c>
      <c r="BG45">
        <f t="shared" ca="1" si="1"/>
        <v>124</v>
      </c>
    </row>
    <row r="46" spans="1:59" x14ac:dyDescent="0.25">
      <c r="A46" t="str">
        <f ca="1"/>
        <v>Lookprabida Formula Student</v>
      </c>
      <c r="B46" t="str">
        <f ca="1"/>
        <v>PSU</v>
      </c>
      <c r="C46">
        <f ca="1"/>
        <v>25</v>
      </c>
      <c r="D46">
        <f ca="1"/>
        <v>0</v>
      </c>
      <c r="E46">
        <f ca="1"/>
        <v>0</v>
      </c>
      <c r="F46">
        <f ca="1"/>
        <v>0</v>
      </c>
      <c r="G46">
        <f ca="1"/>
        <v>0</v>
      </c>
      <c r="H46">
        <f ca="1"/>
        <v>0</v>
      </c>
      <c r="I46">
        <f ca="1"/>
        <v>0</v>
      </c>
      <c r="J46">
        <f ca="1"/>
        <v>0</v>
      </c>
      <c r="K46">
        <f ca="1"/>
        <v>0</v>
      </c>
      <c r="L46">
        <f ca="1"/>
        <v>0</v>
      </c>
      <c r="M46">
        <f ca="1"/>
        <v>0</v>
      </c>
      <c r="N46">
        <f ca="1"/>
        <v>0</v>
      </c>
      <c r="O46">
        <f ca="1"/>
        <v>0</v>
      </c>
      <c r="P46">
        <f ca="1"/>
        <v>0</v>
      </c>
      <c r="Q46">
        <f ca="1"/>
        <v>0</v>
      </c>
      <c r="R46">
        <f ca="1"/>
        <v>0</v>
      </c>
      <c r="S46">
        <f ca="1"/>
        <v>0</v>
      </c>
      <c r="T46">
        <f ca="1"/>
        <v>0</v>
      </c>
      <c r="U46">
        <f ca="1"/>
        <v>0</v>
      </c>
      <c r="V46">
        <f ca="1"/>
        <v>0</v>
      </c>
      <c r="W46">
        <f ca="1"/>
        <v>0</v>
      </c>
      <c r="X46" t="str">
        <f t="shared" ca="1" si="0"/>
        <v>PSU</v>
      </c>
      <c r="Y46">
        <v>44</v>
      </c>
      <c r="AK46" t="s">
        <v>291</v>
      </c>
      <c r="AL46" t="s">
        <v>204</v>
      </c>
      <c r="AM46">
        <v>44</v>
      </c>
      <c r="AN46">
        <f ca="1">SUMIF(Drivers!$B$11:$B$222,"*-"&amp;Constructors!$AL46&amp;"-*",Drivers!C$11:C$222)</f>
        <v>0</v>
      </c>
      <c r="AO46">
        <f ca="1">SUMIF(Drivers!$B$11:$B$222,"*-"&amp;Constructors!$AL46&amp;"-*",Drivers!D$11:D$222)</f>
        <v>3</v>
      </c>
      <c r="AQ46">
        <f ca="1">SUMIF(Drivers!$B$11:$B$222,"*-"&amp;Constructors!$AL46&amp;"-*",Drivers!E$11:E$222)</f>
        <v>0</v>
      </c>
      <c r="AR46">
        <f ca="1">SUMIF(Drivers!$B$11:$B$222,"*-"&amp;Constructors!$AL46&amp;"-*",Drivers!F$11:F$222)</f>
        <v>10</v>
      </c>
      <c r="AS46">
        <f ca="1">SUMIF(Drivers!$B$11:$B$222,"*-"&amp;Constructors!$AL46&amp;"-*",Drivers!G$11:G$222)</f>
        <v>0</v>
      </c>
      <c r="AT46">
        <f ca="1">SUMIF(Drivers!$B$11:$B$222,"*-"&amp;Constructors!$AL46&amp;"-*",Drivers!H$11:H$222)</f>
        <v>0</v>
      </c>
      <c r="AV46">
        <f ca="1">SUMIF(Drivers!$B$11:$B$222,"*-"&amp;Constructors!$AL46&amp;"-*",Drivers!I$11:I$222)</f>
        <v>0</v>
      </c>
      <c r="AW46">
        <f ca="1">SUMIF(Drivers!$B$11:$B$222,"*-"&amp;Constructors!$AL46&amp;"-*",Drivers!J$11:J$222)</f>
        <v>0</v>
      </c>
      <c r="AY46">
        <f ca="1">SUMIF(Drivers!$B$11:$B$222,"*-"&amp;Constructors!$AL46&amp;"-*",Drivers!K$11:K$222)</f>
        <v>0</v>
      </c>
      <c r="AZ46">
        <f ca="1">SUMIF(Drivers!$B$11:$B$222,"*-"&amp;Constructors!$AL46&amp;"-*",Drivers!L$11:L$222)</f>
        <v>0</v>
      </c>
      <c r="BB46">
        <f ca="1">SUMIF(Drivers!$B$11:$B$222,"*-"&amp;Constructors!$AL46&amp;"-*",Drivers!M$11:M$222)</f>
        <v>0</v>
      </c>
      <c r="BC46">
        <f ca="1">SUMIF(Drivers!$B$11:$B$222,"*-"&amp;Constructors!$AL46&amp;"-*",Drivers!N$11:N$222)</f>
        <v>0</v>
      </c>
      <c r="BE46">
        <f ca="1">SUMIF(Drivers!$B$11:$B$222,"*-"&amp;Constructors!$AL46&amp;"-*",Drivers!O$11:O$222)</f>
        <v>0</v>
      </c>
      <c r="BF46">
        <f ca="1">SUMIF(Drivers!$B$11:$B$222,"*-"&amp;Constructors!$AL46&amp;"-*",Drivers!P$11:P$222)</f>
        <v>0</v>
      </c>
      <c r="BG46">
        <f t="shared" ca="1" si="1"/>
        <v>13</v>
      </c>
    </row>
    <row r="47" spans="1:59" x14ac:dyDescent="0.25">
      <c r="A47" t="str">
        <f ca="1"/>
        <v>Warwick Racing</v>
      </c>
      <c r="B47" t="str">
        <f ca="1"/>
        <v>WAR</v>
      </c>
      <c r="C47">
        <f ca="1"/>
        <v>29</v>
      </c>
      <c r="D47">
        <f ca="1"/>
        <v>0</v>
      </c>
      <c r="E47">
        <f ca="1"/>
        <v>0</v>
      </c>
      <c r="F47">
        <f ca="1"/>
        <v>0</v>
      </c>
      <c r="G47">
        <f ca="1"/>
        <v>0</v>
      </c>
      <c r="H47">
        <f ca="1"/>
        <v>0</v>
      </c>
      <c r="I47">
        <f ca="1"/>
        <v>0</v>
      </c>
      <c r="J47">
        <f ca="1"/>
        <v>0</v>
      </c>
      <c r="K47">
        <f ca="1"/>
        <v>0</v>
      </c>
      <c r="L47">
        <f ca="1"/>
        <v>0</v>
      </c>
      <c r="M47">
        <f ca="1"/>
        <v>0</v>
      </c>
      <c r="N47">
        <f ca="1"/>
        <v>0</v>
      </c>
      <c r="O47">
        <f ca="1"/>
        <v>0</v>
      </c>
      <c r="P47">
        <f ca="1"/>
        <v>0</v>
      </c>
      <c r="Q47">
        <f ca="1"/>
        <v>0</v>
      </c>
      <c r="R47">
        <f ca="1"/>
        <v>0</v>
      </c>
      <c r="S47">
        <f ca="1"/>
        <v>0</v>
      </c>
      <c r="T47">
        <f ca="1"/>
        <v>0</v>
      </c>
      <c r="U47">
        <f ca="1"/>
        <v>0</v>
      </c>
      <c r="V47">
        <f ca="1"/>
        <v>0</v>
      </c>
      <c r="W47">
        <f ca="1"/>
        <v>0</v>
      </c>
      <c r="X47" t="str">
        <f t="shared" ca="1" si="0"/>
        <v>WAR</v>
      </c>
      <c r="Y47">
        <v>45</v>
      </c>
      <c r="AK47" t="s">
        <v>292</v>
      </c>
      <c r="AL47" t="s">
        <v>208</v>
      </c>
      <c r="AM47">
        <v>45</v>
      </c>
      <c r="AN47">
        <f ca="1">SUMIF(Drivers!$B$11:$B$222,"*-"&amp;Constructors!$AL47&amp;"-*",Drivers!C$11:C$222)</f>
        <v>0</v>
      </c>
      <c r="AO47">
        <f ca="1">SUMIF(Drivers!$B$11:$B$222,"*-"&amp;Constructors!$AL47&amp;"-*",Drivers!D$11:D$222)</f>
        <v>0</v>
      </c>
      <c r="AQ47">
        <f ca="1">SUMIF(Drivers!$B$11:$B$222,"*-"&amp;Constructors!$AL47&amp;"-*",Drivers!E$11:E$222)</f>
        <v>5</v>
      </c>
      <c r="AR47">
        <f ca="1">SUMIF(Drivers!$B$11:$B$222,"*-"&amp;Constructors!$AL47&amp;"-*",Drivers!F$11:F$222)</f>
        <v>8</v>
      </c>
      <c r="AS47">
        <f ca="1">SUMIF(Drivers!$B$11:$B$222,"*-"&amp;Constructors!$AL47&amp;"-*",Drivers!G$11:G$222)</f>
        <v>0</v>
      </c>
      <c r="AT47">
        <f ca="1">SUMIF(Drivers!$B$11:$B$222,"*-"&amp;Constructors!$AL47&amp;"-*",Drivers!H$11:H$222)</f>
        <v>0</v>
      </c>
      <c r="AV47">
        <f ca="1">SUMIF(Drivers!$B$11:$B$222,"*-"&amp;Constructors!$AL47&amp;"-*",Drivers!I$11:I$222)</f>
        <v>0</v>
      </c>
      <c r="AW47">
        <f ca="1">SUMIF(Drivers!$B$11:$B$222,"*-"&amp;Constructors!$AL47&amp;"-*",Drivers!J$11:J$222)</f>
        <v>0</v>
      </c>
      <c r="AY47">
        <f ca="1">SUMIF(Drivers!$B$11:$B$222,"*-"&amp;Constructors!$AL47&amp;"-*",Drivers!K$11:K$222)</f>
        <v>0</v>
      </c>
      <c r="AZ47">
        <f ca="1">SUMIF(Drivers!$B$11:$B$222,"*-"&amp;Constructors!$AL47&amp;"-*",Drivers!L$11:L$222)</f>
        <v>0</v>
      </c>
      <c r="BB47">
        <f ca="1">SUMIF(Drivers!$B$11:$B$222,"*-"&amp;Constructors!$AL47&amp;"-*",Drivers!M$11:M$222)</f>
        <v>0</v>
      </c>
      <c r="BC47">
        <f ca="1">SUMIF(Drivers!$B$11:$B$222,"*-"&amp;Constructors!$AL47&amp;"-*",Drivers!N$11:N$222)</f>
        <v>0</v>
      </c>
      <c r="BE47">
        <f ca="1">SUMIF(Drivers!$B$11:$B$222,"*-"&amp;Constructors!$AL47&amp;"-*",Drivers!O$11:O$222)</f>
        <v>0</v>
      </c>
      <c r="BF47">
        <f ca="1">SUMIF(Drivers!$B$11:$B$222,"*-"&amp;Constructors!$AL47&amp;"-*",Drivers!P$11:P$222)</f>
        <v>0</v>
      </c>
      <c r="BG47">
        <f t="shared" ca="1" si="1"/>
        <v>13</v>
      </c>
    </row>
    <row r="48" spans="1:59" x14ac:dyDescent="0.25">
      <c r="A48" t="str">
        <f ca="1"/>
        <v>South Bank Racing</v>
      </c>
      <c r="B48" t="str">
        <f ca="1"/>
        <v>SBANK</v>
      </c>
      <c r="C48">
        <f ca="1"/>
        <v>30</v>
      </c>
      <c r="D48">
        <f ca="1"/>
        <v>0</v>
      </c>
      <c r="E48">
        <f ca="1"/>
        <v>0</v>
      </c>
      <c r="F48">
        <f ca="1"/>
        <v>0</v>
      </c>
      <c r="G48">
        <f ca="1"/>
        <v>0</v>
      </c>
      <c r="H48">
        <f ca="1"/>
        <v>0</v>
      </c>
      <c r="I48">
        <f ca="1"/>
        <v>0</v>
      </c>
      <c r="J48">
        <f ca="1"/>
        <v>0</v>
      </c>
      <c r="K48">
        <f ca="1"/>
        <v>0</v>
      </c>
      <c r="L48">
        <f ca="1"/>
        <v>0</v>
      </c>
      <c r="M48">
        <f ca="1"/>
        <v>0</v>
      </c>
      <c r="N48">
        <f ca="1"/>
        <v>0</v>
      </c>
      <c r="O48">
        <f ca="1"/>
        <v>0</v>
      </c>
      <c r="P48">
        <f ca="1"/>
        <v>0</v>
      </c>
      <c r="Q48">
        <f ca="1"/>
        <v>0</v>
      </c>
      <c r="R48">
        <f ca="1"/>
        <v>0</v>
      </c>
      <c r="S48">
        <f ca="1"/>
        <v>0</v>
      </c>
      <c r="T48">
        <f ca="1"/>
        <v>0</v>
      </c>
      <c r="U48">
        <f ca="1"/>
        <v>0</v>
      </c>
      <c r="V48">
        <f ca="1"/>
        <v>0</v>
      </c>
      <c r="W48">
        <f ca="1"/>
        <v>0</v>
      </c>
      <c r="X48" t="str">
        <f t="shared" ca="1" si="0"/>
        <v>SBANK</v>
      </c>
      <c r="Y48">
        <v>46</v>
      </c>
      <c r="AK48" t="s">
        <v>293</v>
      </c>
      <c r="AL48" t="s">
        <v>212</v>
      </c>
      <c r="AM48">
        <v>46</v>
      </c>
      <c r="AN48">
        <f ca="1">SUMIF(Drivers!$B$11:$B$222,"*-"&amp;Constructors!$AL48&amp;"-*",Drivers!C$11:C$222)</f>
        <v>0</v>
      </c>
      <c r="AO48">
        <f ca="1">SUMIF(Drivers!$B$11:$B$222,"*-"&amp;Constructors!$AL48&amp;"-*",Drivers!D$11:D$222)</f>
        <v>0</v>
      </c>
      <c r="AQ48">
        <f ca="1">SUMIF(Drivers!$B$11:$B$222,"*-"&amp;Constructors!$AL48&amp;"-*",Drivers!E$11:E$222)</f>
        <v>0</v>
      </c>
      <c r="AR48">
        <f ca="1">SUMIF(Drivers!$B$11:$B$222,"*-"&amp;Constructors!$AL48&amp;"-*",Drivers!F$11:F$222)</f>
        <v>0</v>
      </c>
      <c r="AS48">
        <f ca="1">SUMIF(Drivers!$B$11:$B$222,"*-"&amp;Constructors!$AL48&amp;"-*",Drivers!G$11:G$222)</f>
        <v>0</v>
      </c>
      <c r="AT48">
        <f ca="1">SUMIF(Drivers!$B$11:$B$222,"*-"&amp;Constructors!$AL48&amp;"-*",Drivers!H$11:H$222)</f>
        <v>0</v>
      </c>
      <c r="AV48">
        <f ca="1">SUMIF(Drivers!$B$11:$B$222,"*-"&amp;Constructors!$AL48&amp;"-*",Drivers!I$11:I$222)</f>
        <v>0</v>
      </c>
      <c r="AW48">
        <f ca="1">SUMIF(Drivers!$B$11:$B$222,"*-"&amp;Constructors!$AL48&amp;"-*",Drivers!J$11:J$222)</f>
        <v>0</v>
      </c>
      <c r="AY48">
        <f ca="1">SUMIF(Drivers!$B$11:$B$222,"*-"&amp;Constructors!$AL48&amp;"-*",Drivers!K$11:K$222)</f>
        <v>0</v>
      </c>
      <c r="AZ48">
        <f ca="1">SUMIF(Drivers!$B$11:$B$222,"*-"&amp;Constructors!$AL48&amp;"-*",Drivers!L$11:L$222)</f>
        <v>0</v>
      </c>
      <c r="BB48">
        <f ca="1">SUMIF(Drivers!$B$11:$B$222,"*-"&amp;Constructors!$AL48&amp;"-*",Drivers!M$11:M$222)</f>
        <v>0</v>
      </c>
      <c r="BC48">
        <f ca="1">SUMIF(Drivers!$B$11:$B$222,"*-"&amp;Constructors!$AL48&amp;"-*",Drivers!N$11:N$222)</f>
        <v>0</v>
      </c>
      <c r="BE48">
        <f ca="1">SUMIF(Drivers!$B$11:$B$222,"*-"&amp;Constructors!$AL48&amp;"-*",Drivers!O$11:O$222)</f>
        <v>0</v>
      </c>
      <c r="BF48">
        <f ca="1">SUMIF(Drivers!$B$11:$B$222,"*-"&amp;Constructors!$AL48&amp;"-*",Drivers!P$11:P$222)</f>
        <v>0</v>
      </c>
      <c r="BG48">
        <f t="shared" ca="1" si="1"/>
        <v>0</v>
      </c>
    </row>
    <row r="49" spans="1:73" x14ac:dyDescent="0.25">
      <c r="A49" t="str">
        <f ca="1"/>
        <v>ULM</v>
      </c>
      <c r="B49" t="str">
        <f ca="1"/>
        <v>LIV</v>
      </c>
      <c r="C49">
        <f ca="1"/>
        <v>32</v>
      </c>
      <c r="D49">
        <f ca="1"/>
        <v>0</v>
      </c>
      <c r="E49">
        <f ca="1"/>
        <v>0</v>
      </c>
      <c r="F49">
        <f ca="1"/>
        <v>0</v>
      </c>
      <c r="G49">
        <f ca="1"/>
        <v>0</v>
      </c>
      <c r="H49">
        <f ca="1"/>
        <v>0</v>
      </c>
      <c r="I49">
        <f ca="1"/>
        <v>0</v>
      </c>
      <c r="J49">
        <f ca="1"/>
        <v>0</v>
      </c>
      <c r="K49">
        <f ca="1"/>
        <v>0</v>
      </c>
      <c r="L49">
        <f ca="1"/>
        <v>0</v>
      </c>
      <c r="M49">
        <f ca="1"/>
        <v>0</v>
      </c>
      <c r="N49">
        <f ca="1"/>
        <v>0</v>
      </c>
      <c r="O49">
        <f ca="1"/>
        <v>0</v>
      </c>
      <c r="P49">
        <f ca="1"/>
        <v>0</v>
      </c>
      <c r="Q49">
        <f ca="1"/>
        <v>0</v>
      </c>
      <c r="R49">
        <f ca="1"/>
        <v>0</v>
      </c>
      <c r="S49">
        <f ca="1"/>
        <v>0</v>
      </c>
      <c r="T49">
        <f ca="1"/>
        <v>0</v>
      </c>
      <c r="U49">
        <f ca="1"/>
        <v>0</v>
      </c>
      <c r="V49">
        <f ca="1"/>
        <v>0</v>
      </c>
      <c r="W49">
        <f ca="1"/>
        <v>0</v>
      </c>
      <c r="X49" t="str">
        <f t="shared" ca="1" si="0"/>
        <v>LIV</v>
      </c>
      <c r="Y49">
        <v>47</v>
      </c>
      <c r="AK49" t="s">
        <v>294</v>
      </c>
      <c r="AL49" t="s">
        <v>216</v>
      </c>
      <c r="AM49">
        <v>47</v>
      </c>
      <c r="AN49">
        <f ca="1">SUMIF(Drivers!$B$11:$B$222,"*-"&amp;Constructors!$AL49&amp;"-*",Drivers!C$11:C$222)</f>
        <v>0</v>
      </c>
      <c r="AO49">
        <f ca="1">SUMIF(Drivers!$B$11:$B$222,"*-"&amp;Constructors!$AL49&amp;"-*",Drivers!D$11:D$222)</f>
        <v>0</v>
      </c>
      <c r="AQ49">
        <f ca="1">SUMIF(Drivers!$B$11:$B$222,"*-"&amp;Constructors!$AL49&amp;"-*",Drivers!E$11:E$222)</f>
        <v>0</v>
      </c>
      <c r="AR49">
        <f ca="1">SUMIF(Drivers!$B$11:$B$222,"*-"&amp;Constructors!$AL49&amp;"-*",Drivers!F$11:F$222)</f>
        <v>0</v>
      </c>
      <c r="AS49">
        <f ca="1">SUMIF(Drivers!$B$11:$B$222,"*-"&amp;Constructors!$AL49&amp;"-*",Drivers!G$11:G$222)</f>
        <v>0</v>
      </c>
      <c r="AT49">
        <f ca="1">SUMIF(Drivers!$B$11:$B$222,"*-"&amp;Constructors!$AL49&amp;"-*",Drivers!H$11:H$222)</f>
        <v>0</v>
      </c>
      <c r="AV49">
        <f ca="1">SUMIF(Drivers!$B$11:$B$222,"*-"&amp;Constructors!$AL49&amp;"-*",Drivers!I$11:I$222)</f>
        <v>0</v>
      </c>
      <c r="AW49">
        <f ca="1">SUMIF(Drivers!$B$11:$B$222,"*-"&amp;Constructors!$AL49&amp;"-*",Drivers!J$11:J$222)</f>
        <v>0</v>
      </c>
      <c r="AY49">
        <f ca="1">SUMIF(Drivers!$B$11:$B$222,"*-"&amp;Constructors!$AL49&amp;"-*",Drivers!K$11:K$222)</f>
        <v>0</v>
      </c>
      <c r="AZ49">
        <f ca="1">SUMIF(Drivers!$B$11:$B$222,"*-"&amp;Constructors!$AL49&amp;"-*",Drivers!L$11:L$222)</f>
        <v>0</v>
      </c>
      <c r="BB49">
        <f ca="1">SUMIF(Drivers!$B$11:$B$222,"*-"&amp;Constructors!$AL49&amp;"-*",Drivers!M$11:M$222)</f>
        <v>0</v>
      </c>
      <c r="BC49">
        <f ca="1">SUMIF(Drivers!$B$11:$B$222,"*-"&amp;Constructors!$AL49&amp;"-*",Drivers!N$11:N$222)</f>
        <v>0</v>
      </c>
      <c r="BE49">
        <f ca="1">SUMIF(Drivers!$B$11:$B$222,"*-"&amp;Constructors!$AL49&amp;"-*",Drivers!O$11:O$222)</f>
        <v>0</v>
      </c>
      <c r="BF49">
        <f ca="1">SUMIF(Drivers!$B$11:$B$222,"*-"&amp;Constructors!$AL49&amp;"-*",Drivers!P$11:P$222)</f>
        <v>0</v>
      </c>
      <c r="BG49">
        <f t="shared" ca="1" si="1"/>
        <v>0</v>
      </c>
    </row>
    <row r="50" spans="1:73" x14ac:dyDescent="0.25">
      <c r="A50" t="str">
        <f ca="1"/>
        <v>IP Paris Racing Team</v>
      </c>
      <c r="B50" t="str">
        <f ca="1"/>
        <v>IPPRT</v>
      </c>
      <c r="C50">
        <f ca="1"/>
        <v>33</v>
      </c>
      <c r="D50">
        <f ca="1"/>
        <v>0</v>
      </c>
      <c r="E50">
        <f ca="1"/>
        <v>0</v>
      </c>
      <c r="F50">
        <f ca="1"/>
        <v>0</v>
      </c>
      <c r="G50">
        <f ca="1"/>
        <v>0</v>
      </c>
      <c r="H50">
        <f ca="1"/>
        <v>0</v>
      </c>
      <c r="I50">
        <f ca="1"/>
        <v>0</v>
      </c>
      <c r="J50">
        <f ca="1"/>
        <v>0</v>
      </c>
      <c r="K50">
        <f ca="1"/>
        <v>0</v>
      </c>
      <c r="L50">
        <f ca="1"/>
        <v>0</v>
      </c>
      <c r="M50">
        <f ca="1"/>
        <v>0</v>
      </c>
      <c r="N50">
        <f ca="1"/>
        <v>0</v>
      </c>
      <c r="O50">
        <f ca="1"/>
        <v>0</v>
      </c>
      <c r="P50">
        <f ca="1"/>
        <v>0</v>
      </c>
      <c r="Q50">
        <f ca="1"/>
        <v>0</v>
      </c>
      <c r="R50">
        <f ca="1"/>
        <v>0</v>
      </c>
      <c r="S50">
        <f ca="1"/>
        <v>0</v>
      </c>
      <c r="T50">
        <f ca="1"/>
        <v>0</v>
      </c>
      <c r="U50">
        <f ca="1"/>
        <v>0</v>
      </c>
      <c r="V50">
        <f ca="1"/>
        <v>0</v>
      </c>
      <c r="W50">
        <f ca="1"/>
        <v>0</v>
      </c>
      <c r="X50" t="str">
        <f t="shared" ca="1" si="0"/>
        <v>IPPRT</v>
      </c>
      <c r="Y50">
        <v>48</v>
      </c>
      <c r="AK50" t="s">
        <v>295</v>
      </c>
      <c r="AL50" t="s">
        <v>220</v>
      </c>
      <c r="AM50">
        <v>48</v>
      </c>
      <c r="AN50">
        <f ca="1">SUMIF(Drivers!$B$11:$B$222,"*-"&amp;Constructors!$AL50&amp;"-*",Drivers!C$11:C$222)</f>
        <v>50</v>
      </c>
      <c r="AO50">
        <f ca="1">SUMIF(Drivers!$B$11:$B$222,"*-"&amp;Constructors!$AL50&amp;"-*",Drivers!D$11:D$222)</f>
        <v>15</v>
      </c>
      <c r="AQ50">
        <f ca="1">SUMIF(Drivers!$B$11:$B$222,"*-"&amp;Constructors!$AL50&amp;"-*",Drivers!E$11:E$222)</f>
        <v>39</v>
      </c>
      <c r="AR50">
        <f ca="1">SUMIF(Drivers!$B$11:$B$222,"*-"&amp;Constructors!$AL50&amp;"-*",Drivers!F$11:F$222)</f>
        <v>32</v>
      </c>
      <c r="AS50">
        <f ca="1">SUMIF(Drivers!$B$11:$B$222,"*-"&amp;Constructors!$AL50&amp;"-*",Drivers!G$11:G$222)</f>
        <v>0</v>
      </c>
      <c r="AT50">
        <f ca="1">SUMIF(Drivers!$B$11:$B$222,"*-"&amp;Constructors!$AL50&amp;"-*",Drivers!H$11:H$222)</f>
        <v>0</v>
      </c>
      <c r="AV50">
        <f ca="1">SUMIF(Drivers!$B$11:$B$222,"*-"&amp;Constructors!$AL50&amp;"-*",Drivers!I$11:I$222)</f>
        <v>0</v>
      </c>
      <c r="AW50">
        <f ca="1">SUMIF(Drivers!$B$11:$B$222,"*-"&amp;Constructors!$AL50&amp;"-*",Drivers!J$11:J$222)</f>
        <v>0</v>
      </c>
      <c r="AY50">
        <f ca="1">SUMIF(Drivers!$B$11:$B$222,"*-"&amp;Constructors!$AL50&amp;"-*",Drivers!K$11:K$222)</f>
        <v>0</v>
      </c>
      <c r="AZ50">
        <f ca="1">SUMIF(Drivers!$B$11:$B$222,"*-"&amp;Constructors!$AL50&amp;"-*",Drivers!L$11:L$222)</f>
        <v>0</v>
      </c>
      <c r="BB50">
        <f ca="1">SUMIF(Drivers!$B$11:$B$222,"*-"&amp;Constructors!$AL50&amp;"-*",Drivers!M$11:M$222)</f>
        <v>0</v>
      </c>
      <c r="BC50">
        <f ca="1">SUMIF(Drivers!$B$11:$B$222,"*-"&amp;Constructors!$AL50&amp;"-*",Drivers!N$11:N$222)</f>
        <v>0</v>
      </c>
      <c r="BE50">
        <f ca="1">SUMIF(Drivers!$B$11:$B$222,"*-"&amp;Constructors!$AL50&amp;"-*",Drivers!O$11:O$222)</f>
        <v>0</v>
      </c>
      <c r="BF50">
        <f ca="1">SUMIF(Drivers!$B$11:$B$222,"*-"&amp;Constructors!$AL50&amp;"-*",Drivers!P$11:P$222)</f>
        <v>0</v>
      </c>
      <c r="BG50">
        <f t="shared" ca="1" si="1"/>
        <v>136</v>
      </c>
    </row>
    <row r="51" spans="1:73" x14ac:dyDescent="0.25">
      <c r="A51" t="str">
        <f ca="1"/>
        <v>UC Motorsport</v>
      </c>
      <c r="B51" t="str">
        <f ca="1"/>
        <v>CANT</v>
      </c>
      <c r="C51">
        <f ca="1"/>
        <v>39</v>
      </c>
      <c r="D51">
        <f ca="1"/>
        <v>0</v>
      </c>
      <c r="E51">
        <f ca="1"/>
        <v>0</v>
      </c>
      <c r="F51">
        <f ca="1"/>
        <v>0</v>
      </c>
      <c r="G51">
        <f ca="1"/>
        <v>0</v>
      </c>
      <c r="H51">
        <f ca="1"/>
        <v>0</v>
      </c>
      <c r="I51">
        <f ca="1"/>
        <v>0</v>
      </c>
      <c r="J51">
        <f ca="1"/>
        <v>0</v>
      </c>
      <c r="K51">
        <f ca="1"/>
        <v>0</v>
      </c>
      <c r="L51">
        <f ca="1"/>
        <v>0</v>
      </c>
      <c r="M51">
        <f ca="1"/>
        <v>0</v>
      </c>
      <c r="N51">
        <f ca="1"/>
        <v>0</v>
      </c>
      <c r="O51">
        <f ca="1"/>
        <v>0</v>
      </c>
      <c r="P51">
        <f ca="1"/>
        <v>0</v>
      </c>
      <c r="Q51">
        <f ca="1"/>
        <v>0</v>
      </c>
      <c r="R51">
        <f ca="1"/>
        <v>0</v>
      </c>
      <c r="S51">
        <f ca="1"/>
        <v>0</v>
      </c>
      <c r="T51">
        <f ca="1"/>
        <v>0</v>
      </c>
      <c r="U51">
        <f ca="1"/>
        <v>0</v>
      </c>
      <c r="V51">
        <f ca="1"/>
        <v>0</v>
      </c>
      <c r="W51">
        <f ca="1"/>
        <v>0</v>
      </c>
      <c r="X51" t="str">
        <f t="shared" ca="1" si="0"/>
        <v>CANT</v>
      </c>
      <c r="Y51">
        <v>49</v>
      </c>
      <c r="AK51" t="s">
        <v>296</v>
      </c>
      <c r="AL51" t="s">
        <v>224</v>
      </c>
      <c r="AM51">
        <v>49</v>
      </c>
      <c r="AN51">
        <f ca="1">SUMIF(Drivers!$B$11:$B$222,"*-"&amp;Constructors!$AL51&amp;"-*",Drivers!C$11:C$222)</f>
        <v>0</v>
      </c>
      <c r="AO51">
        <f ca="1">SUMIF(Drivers!$B$11:$B$222,"*-"&amp;Constructors!$AL51&amp;"-*",Drivers!D$11:D$222)</f>
        <v>0</v>
      </c>
      <c r="AQ51">
        <f ca="1">SUMIF(Drivers!$B$11:$B$222,"*-"&amp;Constructors!$AL51&amp;"-*",Drivers!E$11:E$222)</f>
        <v>0</v>
      </c>
      <c r="AR51">
        <f ca="1">SUMIF(Drivers!$B$11:$B$222,"*-"&amp;Constructors!$AL51&amp;"-*",Drivers!F$11:F$222)</f>
        <v>0</v>
      </c>
      <c r="AS51">
        <f ca="1">SUMIF(Drivers!$B$11:$B$222,"*-"&amp;Constructors!$AL51&amp;"-*",Drivers!G$11:G$222)</f>
        <v>0</v>
      </c>
      <c r="AT51">
        <f ca="1">SUMIF(Drivers!$B$11:$B$222,"*-"&amp;Constructors!$AL51&amp;"-*",Drivers!H$11:H$222)</f>
        <v>0</v>
      </c>
      <c r="AV51">
        <f ca="1">SUMIF(Drivers!$B$11:$B$222,"*-"&amp;Constructors!$AL51&amp;"-*",Drivers!I$11:I$222)</f>
        <v>0</v>
      </c>
      <c r="AW51">
        <f ca="1">SUMIF(Drivers!$B$11:$B$222,"*-"&amp;Constructors!$AL51&amp;"-*",Drivers!J$11:J$222)</f>
        <v>0</v>
      </c>
      <c r="AY51">
        <f ca="1">SUMIF(Drivers!$B$11:$B$222,"*-"&amp;Constructors!$AL51&amp;"-*",Drivers!K$11:K$222)</f>
        <v>0</v>
      </c>
      <c r="AZ51">
        <f ca="1">SUMIF(Drivers!$B$11:$B$222,"*-"&amp;Constructors!$AL51&amp;"-*",Drivers!L$11:L$222)</f>
        <v>0</v>
      </c>
      <c r="BB51">
        <f ca="1">SUMIF(Drivers!$B$11:$B$222,"*-"&amp;Constructors!$AL51&amp;"-*",Drivers!M$11:M$222)</f>
        <v>0</v>
      </c>
      <c r="BC51">
        <f ca="1">SUMIF(Drivers!$B$11:$B$222,"*-"&amp;Constructors!$AL51&amp;"-*",Drivers!N$11:N$222)</f>
        <v>0</v>
      </c>
      <c r="BE51">
        <f ca="1">SUMIF(Drivers!$B$11:$B$222,"*-"&amp;Constructors!$AL51&amp;"-*",Drivers!O$11:O$222)</f>
        <v>0</v>
      </c>
      <c r="BF51">
        <f ca="1">SUMIF(Drivers!$B$11:$B$222,"*-"&amp;Constructors!$AL51&amp;"-*",Drivers!P$11:P$222)</f>
        <v>0</v>
      </c>
      <c r="BG51">
        <f t="shared" ca="1" si="1"/>
        <v>0</v>
      </c>
    </row>
    <row r="52" spans="1:73" x14ac:dyDescent="0.25">
      <c r="A52" t="str">
        <f ca="1"/>
        <v>DMU Racing</v>
      </c>
      <c r="B52" t="str">
        <f ca="1"/>
        <v>DMU</v>
      </c>
      <c r="C52">
        <f ca="1"/>
        <v>42</v>
      </c>
      <c r="D52">
        <f ca="1"/>
        <v>0</v>
      </c>
      <c r="E52">
        <f ca="1"/>
        <v>0</v>
      </c>
      <c r="F52">
        <f ca="1"/>
        <v>0</v>
      </c>
      <c r="G52">
        <f ca="1"/>
        <v>0</v>
      </c>
      <c r="H52">
        <f ca="1"/>
        <v>0</v>
      </c>
      <c r="I52">
        <f ca="1"/>
        <v>0</v>
      </c>
      <c r="J52">
        <f ca="1"/>
        <v>0</v>
      </c>
      <c r="K52">
        <f ca="1"/>
        <v>0</v>
      </c>
      <c r="L52">
        <f ca="1"/>
        <v>0</v>
      </c>
      <c r="M52">
        <f ca="1"/>
        <v>0</v>
      </c>
      <c r="N52">
        <f ca="1"/>
        <v>0</v>
      </c>
      <c r="O52">
        <f ca="1"/>
        <v>0</v>
      </c>
      <c r="P52">
        <f ca="1"/>
        <v>0</v>
      </c>
      <c r="Q52">
        <f ca="1"/>
        <v>0</v>
      </c>
      <c r="R52">
        <f ca="1"/>
        <v>0</v>
      </c>
      <c r="S52">
        <f ca="1"/>
        <v>0</v>
      </c>
      <c r="T52">
        <f ca="1"/>
        <v>0</v>
      </c>
      <c r="U52">
        <f ca="1"/>
        <v>0</v>
      </c>
      <c r="V52">
        <f ca="1"/>
        <v>0</v>
      </c>
      <c r="W52">
        <f ca="1"/>
        <v>0</v>
      </c>
      <c r="X52" t="str">
        <f t="shared" ca="1" si="0"/>
        <v>DMU</v>
      </c>
      <c r="Y52">
        <v>50</v>
      </c>
      <c r="AK52" t="s">
        <v>297</v>
      </c>
      <c r="AL52" t="s">
        <v>232</v>
      </c>
      <c r="AM52">
        <v>50</v>
      </c>
      <c r="AN52">
        <f ca="1">SUMIF(Drivers!$B$11:$B$222,"*-"&amp;Constructors!$AL52&amp;"-*",Drivers!C$11:C$222)</f>
        <v>0</v>
      </c>
      <c r="AO52">
        <f ca="1">SUMIF(Drivers!$B$11:$B$222,"*-"&amp;Constructors!$AL52&amp;"-*",Drivers!D$11:D$222)</f>
        <v>24</v>
      </c>
      <c r="AQ52">
        <f ca="1">SUMIF(Drivers!$B$11:$B$222,"*-"&amp;Constructors!$AL52&amp;"-*",Drivers!E$11:E$222)</f>
        <v>40</v>
      </c>
      <c r="AR52">
        <f ca="1">SUMIF(Drivers!$B$11:$B$222,"*-"&amp;Constructors!$AL52&amp;"-*",Drivers!F$11:F$222)</f>
        <v>30</v>
      </c>
      <c r="AS52">
        <f ca="1">SUMIF(Drivers!$B$11:$B$222,"*-"&amp;Constructors!$AL52&amp;"-*",Drivers!G$11:G$222)</f>
        <v>0</v>
      </c>
      <c r="AT52">
        <f ca="1">SUMIF(Drivers!$B$11:$B$222,"*-"&amp;Constructors!$AL52&amp;"-*",Drivers!H$11:H$222)</f>
        <v>0</v>
      </c>
      <c r="AV52">
        <f ca="1">SUMIF(Drivers!$B$11:$B$222,"*-"&amp;Constructors!$AL52&amp;"-*",Drivers!I$11:I$222)</f>
        <v>0</v>
      </c>
      <c r="AW52">
        <f ca="1">SUMIF(Drivers!$B$11:$B$222,"*-"&amp;Constructors!$AL52&amp;"-*",Drivers!J$11:J$222)</f>
        <v>0</v>
      </c>
      <c r="AY52">
        <f ca="1">SUMIF(Drivers!$B$11:$B$222,"*-"&amp;Constructors!$AL52&amp;"-*",Drivers!K$11:K$222)</f>
        <v>0</v>
      </c>
      <c r="AZ52">
        <f ca="1">SUMIF(Drivers!$B$11:$B$222,"*-"&amp;Constructors!$AL52&amp;"-*",Drivers!L$11:L$222)</f>
        <v>0</v>
      </c>
      <c r="BB52">
        <f ca="1">SUMIF(Drivers!$B$11:$B$222,"*-"&amp;Constructors!$AL52&amp;"-*",Drivers!M$11:M$222)</f>
        <v>0</v>
      </c>
      <c r="BC52">
        <f ca="1">SUMIF(Drivers!$B$11:$B$222,"*-"&amp;Constructors!$AL52&amp;"-*",Drivers!N$11:N$222)</f>
        <v>0</v>
      </c>
      <c r="BE52">
        <f ca="1">SUMIF(Drivers!$B$11:$B$222,"*-"&amp;Constructors!$AL52&amp;"-*",Drivers!O$11:O$222)</f>
        <v>0</v>
      </c>
      <c r="BF52">
        <f ca="1">SUMIF(Drivers!$B$11:$B$222,"*-"&amp;Constructors!$AL52&amp;"-*",Drivers!P$11:P$222)</f>
        <v>0</v>
      </c>
      <c r="BG52">
        <f t="shared" ca="1" si="1"/>
        <v>94</v>
      </c>
    </row>
    <row r="53" spans="1:73" x14ac:dyDescent="0.25">
      <c r="A53" t="str">
        <f ca="1"/>
        <v>Zips Racing Electric</v>
      </c>
      <c r="B53" t="str">
        <f ca="1"/>
        <v>ZIPS</v>
      </c>
      <c r="C53">
        <f ca="1"/>
        <v>46</v>
      </c>
      <c r="D53">
        <f ca="1"/>
        <v>0</v>
      </c>
      <c r="E53">
        <f ca="1"/>
        <v>0</v>
      </c>
      <c r="F53">
        <f ca="1"/>
        <v>0</v>
      </c>
      <c r="G53">
        <f ca="1"/>
        <v>0</v>
      </c>
      <c r="H53">
        <f ca="1"/>
        <v>0</v>
      </c>
      <c r="I53">
        <f ca="1"/>
        <v>0</v>
      </c>
      <c r="J53">
        <f ca="1"/>
        <v>0</v>
      </c>
      <c r="K53">
        <f ca="1"/>
        <v>0</v>
      </c>
      <c r="L53">
        <f ca="1"/>
        <v>0</v>
      </c>
      <c r="M53">
        <f ca="1"/>
        <v>0</v>
      </c>
      <c r="N53">
        <f ca="1"/>
        <v>0</v>
      </c>
      <c r="O53">
        <f ca="1"/>
        <v>0</v>
      </c>
      <c r="P53">
        <f ca="1"/>
        <v>0</v>
      </c>
      <c r="Q53">
        <f ca="1"/>
        <v>0</v>
      </c>
      <c r="R53">
        <f ca="1"/>
        <v>0</v>
      </c>
      <c r="S53">
        <f ca="1"/>
        <v>0</v>
      </c>
      <c r="T53">
        <f ca="1"/>
        <v>0</v>
      </c>
      <c r="U53">
        <f ca="1"/>
        <v>0</v>
      </c>
      <c r="V53">
        <f ca="1"/>
        <v>0</v>
      </c>
      <c r="W53">
        <f ca="1"/>
        <v>0</v>
      </c>
      <c r="X53" t="str">
        <f t="shared" ca="1" si="0"/>
        <v>ZIPS</v>
      </c>
      <c r="Y53">
        <v>51</v>
      </c>
      <c r="AK53" t="s">
        <v>298</v>
      </c>
      <c r="AL53" t="s">
        <v>235</v>
      </c>
      <c r="AM53">
        <v>51</v>
      </c>
      <c r="AN53">
        <f ca="1">SUMIF(Drivers!$B$11:$B$222,"*-"&amp;Constructors!$AL53&amp;"-*",Drivers!C$11:C$222)</f>
        <v>2</v>
      </c>
      <c r="AO53">
        <f ca="1">SUMIF(Drivers!$B$11:$B$222,"*-"&amp;Constructors!$AL53&amp;"-*",Drivers!D$11:D$222)</f>
        <v>38</v>
      </c>
      <c r="AP53">
        <v>30</v>
      </c>
      <c r="AQ53">
        <f ca="1">SUMIF(Drivers!$B$11:$B$222,"*-"&amp;Constructors!$AL53&amp;"-*",Drivers!E$11:E$222)</f>
        <v>12</v>
      </c>
      <c r="AR53">
        <f ca="1">SUMIF(Drivers!$B$11:$B$222,"*-"&amp;Constructors!$AL53&amp;"-*",Drivers!F$11:F$222)</f>
        <v>18</v>
      </c>
      <c r="AS53">
        <f ca="1">SUMIF(Drivers!$B$11:$B$222,"*-"&amp;Constructors!$AL53&amp;"-*",Drivers!G$11:G$222)</f>
        <v>0</v>
      </c>
      <c r="AT53">
        <f ca="1">SUMIF(Drivers!$B$11:$B$222,"*-"&amp;Constructors!$AL53&amp;"-*",Drivers!H$11:H$222)</f>
        <v>0</v>
      </c>
      <c r="AV53">
        <f ca="1">SUMIF(Drivers!$B$11:$B$222,"*-"&amp;Constructors!$AL53&amp;"-*",Drivers!I$11:I$222)</f>
        <v>0</v>
      </c>
      <c r="AW53">
        <f ca="1">SUMIF(Drivers!$B$11:$B$222,"*-"&amp;Constructors!$AL53&amp;"-*",Drivers!J$11:J$222)</f>
        <v>0</v>
      </c>
      <c r="AY53">
        <f ca="1">SUMIF(Drivers!$B$11:$B$222,"*-"&amp;Constructors!$AL53&amp;"-*",Drivers!K$11:K$222)</f>
        <v>0</v>
      </c>
      <c r="AZ53">
        <f ca="1">SUMIF(Drivers!$B$11:$B$222,"*-"&amp;Constructors!$AL53&amp;"-*",Drivers!L$11:L$222)</f>
        <v>0</v>
      </c>
      <c r="BB53">
        <f ca="1">SUMIF(Drivers!$B$11:$B$222,"*-"&amp;Constructors!$AL53&amp;"-*",Drivers!M$11:M$222)</f>
        <v>0</v>
      </c>
      <c r="BC53">
        <f ca="1">SUMIF(Drivers!$B$11:$B$222,"*-"&amp;Constructors!$AL53&amp;"-*",Drivers!N$11:N$222)</f>
        <v>0</v>
      </c>
      <c r="BE53">
        <f ca="1">SUMIF(Drivers!$B$11:$B$222,"*-"&amp;Constructors!$AL53&amp;"-*",Drivers!O$11:O$222)</f>
        <v>0</v>
      </c>
      <c r="BF53">
        <f ca="1">SUMIF(Drivers!$B$11:$B$222,"*-"&amp;Constructors!$AL53&amp;"-*",Drivers!P$11:P$222)</f>
        <v>0</v>
      </c>
      <c r="BG53">
        <f t="shared" ca="1" si="1"/>
        <v>100</v>
      </c>
    </row>
    <row r="54" spans="1:73" x14ac:dyDescent="0.25">
      <c r="A54" t="str">
        <f ca="1"/>
        <v>Formula IUT</v>
      </c>
      <c r="B54" t="str">
        <f ca="1"/>
        <v>IUT</v>
      </c>
      <c r="C54">
        <f ca="1"/>
        <v>47</v>
      </c>
      <c r="D54">
        <f ca="1"/>
        <v>0</v>
      </c>
      <c r="E54">
        <f ca="1"/>
        <v>0</v>
      </c>
      <c r="F54">
        <f ca="1"/>
        <v>0</v>
      </c>
      <c r="G54">
        <f ca="1"/>
        <v>0</v>
      </c>
      <c r="H54">
        <f ca="1"/>
        <v>0</v>
      </c>
      <c r="I54">
        <f ca="1"/>
        <v>0</v>
      </c>
      <c r="J54">
        <f ca="1"/>
        <v>0</v>
      </c>
      <c r="K54">
        <f ca="1"/>
        <v>0</v>
      </c>
      <c r="L54">
        <f ca="1"/>
        <v>0</v>
      </c>
      <c r="M54">
        <f ca="1"/>
        <v>0</v>
      </c>
      <c r="N54">
        <f ca="1"/>
        <v>0</v>
      </c>
      <c r="O54">
        <f ca="1"/>
        <v>0</v>
      </c>
      <c r="P54">
        <f ca="1"/>
        <v>0</v>
      </c>
      <c r="Q54">
        <f ca="1"/>
        <v>0</v>
      </c>
      <c r="R54">
        <f ca="1"/>
        <v>0</v>
      </c>
      <c r="S54">
        <f ca="1"/>
        <v>0</v>
      </c>
      <c r="T54">
        <f ca="1"/>
        <v>0</v>
      </c>
      <c r="U54">
        <f ca="1"/>
        <v>0</v>
      </c>
      <c r="V54">
        <f ca="1"/>
        <v>0</v>
      </c>
      <c r="W54">
        <f ca="1"/>
        <v>0</v>
      </c>
      <c r="X54" t="str">
        <f t="shared" ca="1" si="0"/>
        <v>IUT</v>
      </c>
      <c r="Y54">
        <v>52</v>
      </c>
      <c r="AK54" t="s">
        <v>299</v>
      </c>
      <c r="AL54" t="s">
        <v>241</v>
      </c>
      <c r="AM54">
        <v>52</v>
      </c>
      <c r="AN54">
        <f ca="1">SUMIF(Drivers!$B$11:$B$222,"*-"&amp;Constructors!$AL54&amp;"-*",Drivers!C$11:C$222)</f>
        <v>20</v>
      </c>
      <c r="AO54">
        <f ca="1">SUMIF(Drivers!$B$11:$B$222,"*-"&amp;Constructors!$AL54&amp;"-*",Drivers!D$11:D$222)</f>
        <v>22</v>
      </c>
      <c r="AP54">
        <v>0</v>
      </c>
      <c r="AQ54">
        <f ca="1">SUMIF(Drivers!$B$11:$B$222,"*-"&amp;Constructors!$AL54&amp;"-*",Drivers!E$11:E$222)</f>
        <v>0</v>
      </c>
      <c r="AR54">
        <f ca="1">SUMIF(Drivers!$B$11:$B$222,"*-"&amp;Constructors!$AL54&amp;"-*",Drivers!F$11:F$222)</f>
        <v>0</v>
      </c>
      <c r="AS54">
        <f ca="1">SUMIF(Drivers!$B$11:$B$222,"*-"&amp;Constructors!$AL54&amp;"-*",Drivers!G$11:G$222)</f>
        <v>0</v>
      </c>
      <c r="AT54">
        <f ca="1">SUMIF(Drivers!$B$11:$B$222,"*-"&amp;Constructors!$AL54&amp;"-*",Drivers!H$11:H$222)</f>
        <v>0</v>
      </c>
      <c r="AV54">
        <f ca="1">SUMIF(Drivers!$B$11:$B$222,"*-"&amp;Constructors!$AL54&amp;"-*",Drivers!I$11:I$222)</f>
        <v>0</v>
      </c>
      <c r="AW54">
        <f ca="1">SUMIF(Drivers!$B$11:$B$222,"*-"&amp;Constructors!$AL54&amp;"-*",Drivers!J$11:J$222)</f>
        <v>0</v>
      </c>
      <c r="AY54">
        <f ca="1">SUMIF(Drivers!$B$11:$B$222,"*-"&amp;Constructors!$AL54&amp;"-*",Drivers!K$11:K$222)</f>
        <v>0</v>
      </c>
      <c r="AZ54">
        <f ca="1">SUMIF(Drivers!$B$11:$B$222,"*-"&amp;Constructors!$AL54&amp;"-*",Drivers!L$11:L$222)</f>
        <v>0</v>
      </c>
      <c r="BB54">
        <f ca="1">SUMIF(Drivers!$B$11:$B$222,"*-"&amp;Constructors!$AL54&amp;"-*",Drivers!M$11:M$222)</f>
        <v>0</v>
      </c>
      <c r="BC54">
        <f ca="1">SUMIF(Drivers!$B$11:$B$222,"*-"&amp;Constructors!$AL54&amp;"-*",Drivers!N$11:N$222)</f>
        <v>0</v>
      </c>
      <c r="BE54">
        <f ca="1">SUMIF(Drivers!$B$11:$B$222,"*-"&amp;Constructors!$AL54&amp;"-*",Drivers!O$11:O$222)</f>
        <v>0</v>
      </c>
      <c r="BF54">
        <f ca="1">SUMIF(Drivers!$B$11:$B$222,"*-"&amp;Constructors!$AL54&amp;"-*",Drivers!P$11:P$222)</f>
        <v>0</v>
      </c>
      <c r="BG54">
        <f t="shared" ca="1" si="1"/>
        <v>42</v>
      </c>
    </row>
    <row r="55" spans="1:73" x14ac:dyDescent="0.25">
      <c r="A55" t="str">
        <f ca="1"/>
        <v>Team SURTES</v>
      </c>
      <c r="B55" t="str">
        <f ca="1"/>
        <v>SURT</v>
      </c>
      <c r="C55">
        <f ca="1"/>
        <v>49</v>
      </c>
      <c r="D55">
        <f ca="1"/>
        <v>0</v>
      </c>
      <c r="E55">
        <f ca="1"/>
        <v>0</v>
      </c>
      <c r="F55">
        <f ca="1"/>
        <v>0</v>
      </c>
      <c r="G55">
        <f ca="1"/>
        <v>0</v>
      </c>
      <c r="H55">
        <f ca="1"/>
        <v>0</v>
      </c>
      <c r="I55">
        <f ca="1"/>
        <v>0</v>
      </c>
      <c r="J55">
        <f ca="1"/>
        <v>0</v>
      </c>
      <c r="K55">
        <f ca="1"/>
        <v>0</v>
      </c>
      <c r="L55">
        <f ca="1"/>
        <v>0</v>
      </c>
      <c r="M55">
        <f ca="1"/>
        <v>0</v>
      </c>
      <c r="N55">
        <f ca="1"/>
        <v>0</v>
      </c>
      <c r="O55">
        <f ca="1"/>
        <v>0</v>
      </c>
      <c r="P55">
        <f ca="1"/>
        <v>0</v>
      </c>
      <c r="Q55">
        <f ca="1"/>
        <v>0</v>
      </c>
      <c r="R55">
        <f ca="1"/>
        <v>0</v>
      </c>
      <c r="S55">
        <f ca="1"/>
        <v>0</v>
      </c>
      <c r="T55">
        <f ca="1"/>
        <v>0</v>
      </c>
      <c r="U55">
        <f ca="1"/>
        <v>0</v>
      </c>
      <c r="V55">
        <f ca="1"/>
        <v>0</v>
      </c>
      <c r="W55">
        <f ca="1"/>
        <v>0</v>
      </c>
      <c r="X55" t="str">
        <f t="shared" ca="1" si="0"/>
        <v>SURT</v>
      </c>
      <c r="Y55">
        <v>53</v>
      </c>
      <c r="AK55" t="s">
        <v>300</v>
      </c>
      <c r="AL55" t="s">
        <v>246</v>
      </c>
      <c r="AM55">
        <v>53</v>
      </c>
      <c r="AN55">
        <f ca="1">SUMIF(Drivers!$B$11:$B$222,"*-"&amp;Constructors!$AL55&amp;"-*",Drivers!C$11:C$222)</f>
        <v>34</v>
      </c>
      <c r="AO55">
        <f ca="1">SUMIF(Drivers!$B$11:$B$222,"*-"&amp;Constructors!$AL55&amp;"-*",Drivers!D$11:D$222)</f>
        <v>4</v>
      </c>
      <c r="AQ55">
        <f ca="1">SUMIF(Drivers!$B$11:$B$222,"*-"&amp;Constructors!$AL55&amp;"-*",Drivers!E$11:E$222)</f>
        <v>0</v>
      </c>
      <c r="AR55">
        <f ca="1">SUMIF(Drivers!$B$11:$B$222,"*-"&amp;Constructors!$AL55&amp;"-*",Drivers!F$11:F$222)</f>
        <v>0</v>
      </c>
      <c r="AS55">
        <f ca="1">SUMIF(Drivers!$B$11:$B$222,"*-"&amp;Constructors!$AL55&amp;"-*",Drivers!G$11:G$222)</f>
        <v>0</v>
      </c>
      <c r="AT55">
        <f ca="1">SUMIF(Drivers!$B$11:$B$222,"*-"&amp;Constructors!$AL55&amp;"-*",Drivers!H$11:H$222)</f>
        <v>0</v>
      </c>
      <c r="AV55">
        <f ca="1">SUMIF(Drivers!$B$11:$B$222,"*-"&amp;Constructors!$AL55&amp;"-*",Drivers!I$11:I$222)</f>
        <v>0</v>
      </c>
      <c r="AW55">
        <f ca="1">SUMIF(Drivers!$B$11:$B$222,"*-"&amp;Constructors!$AL55&amp;"-*",Drivers!J$11:J$222)</f>
        <v>0</v>
      </c>
      <c r="AY55">
        <f ca="1">SUMIF(Drivers!$B$11:$B$222,"*-"&amp;Constructors!$AL55&amp;"-*",Drivers!K$11:K$222)</f>
        <v>0</v>
      </c>
      <c r="AZ55">
        <f ca="1">SUMIF(Drivers!$B$11:$B$222,"*-"&amp;Constructors!$AL55&amp;"-*",Drivers!L$11:L$222)</f>
        <v>0</v>
      </c>
      <c r="BB55">
        <f ca="1">SUMIF(Drivers!$B$11:$B$222,"*-"&amp;Constructors!$AL55&amp;"-*",Drivers!M$11:M$222)</f>
        <v>0</v>
      </c>
      <c r="BC55">
        <f ca="1">SUMIF(Drivers!$B$11:$B$222,"*-"&amp;Constructors!$AL55&amp;"-*",Drivers!N$11:N$222)</f>
        <v>0</v>
      </c>
      <c r="BE55">
        <f ca="1">SUMIF(Drivers!$B$11:$B$222,"*-"&amp;Constructors!$AL55&amp;"-*",Drivers!O$11:O$222)</f>
        <v>0</v>
      </c>
      <c r="BF55">
        <f ca="1">SUMIF(Drivers!$B$11:$B$222,"*-"&amp;Constructors!$AL55&amp;"-*",Drivers!P$11:P$222)</f>
        <v>0</v>
      </c>
      <c r="BG55">
        <f t="shared" ca="1" si="1"/>
        <v>38</v>
      </c>
    </row>
    <row r="57" spans="1:73" x14ac:dyDescent="0.25">
      <c r="AK57" t="s">
        <v>254</v>
      </c>
      <c r="AL57" t="s">
        <v>301</v>
      </c>
      <c r="AM57" s="23" t="s">
        <v>349</v>
      </c>
      <c r="AN57" s="23"/>
      <c r="AO57" s="23" t="s">
        <v>350</v>
      </c>
      <c r="AP57" s="23"/>
      <c r="AQ57" s="23" t="s">
        <v>351</v>
      </c>
      <c r="AR57" s="23"/>
      <c r="AS57" s="23" t="s">
        <v>358</v>
      </c>
      <c r="AT57" s="23"/>
      <c r="AU57" s="23" t="s">
        <v>359</v>
      </c>
      <c r="AV57" s="23"/>
      <c r="AW57" s="23" t="s">
        <v>360</v>
      </c>
      <c r="AX57" s="23"/>
      <c r="AY57" s="23" t="s">
        <v>361</v>
      </c>
      <c r="AZ57" s="23"/>
      <c r="BA57" s="14" t="s">
        <v>40</v>
      </c>
      <c r="BC57" t="s">
        <v>357</v>
      </c>
      <c r="BE57" t="s">
        <v>254</v>
      </c>
      <c r="BF57" t="s">
        <v>301</v>
      </c>
      <c r="BG57" s="23" t="s">
        <v>352</v>
      </c>
      <c r="BH57" s="23"/>
      <c r="BI57" s="23" t="s">
        <v>353</v>
      </c>
      <c r="BJ57" s="23"/>
      <c r="BK57" s="23" t="s">
        <v>354</v>
      </c>
      <c r="BL57" s="23"/>
      <c r="BM57" s="23" t="s">
        <v>355</v>
      </c>
      <c r="BN57" s="23"/>
      <c r="BO57" s="23" t="s">
        <v>356</v>
      </c>
      <c r="BP57" s="23"/>
      <c r="BQ57" t="s">
        <v>40</v>
      </c>
      <c r="BS57" s="23" t="s">
        <v>361</v>
      </c>
      <c r="BT57" s="23"/>
      <c r="BU57" s="14" t="s">
        <v>40</v>
      </c>
    </row>
    <row r="58" spans="1:73" x14ac:dyDescent="0.25">
      <c r="AK58" t="s">
        <v>255</v>
      </c>
      <c r="AL58" t="s">
        <v>56</v>
      </c>
      <c r="AM58" s="23">
        <f ca="1">AN3+AO3</f>
        <v>36</v>
      </c>
      <c r="AN58" s="23"/>
      <c r="AO58" s="23">
        <f ca="1">AQ3+AR3</f>
        <v>96</v>
      </c>
      <c r="AP58" s="23"/>
      <c r="AQ58" s="23">
        <f ca="1">AS3+AT3</f>
        <v>0</v>
      </c>
      <c r="AR58" s="23"/>
      <c r="AS58" s="23">
        <f ca="1">AV3+AW3</f>
        <v>0</v>
      </c>
      <c r="AT58" s="23"/>
      <c r="AU58" s="23">
        <f ca="1">AZ3+AY3</f>
        <v>0</v>
      </c>
      <c r="AV58" s="23"/>
      <c r="AW58" s="23">
        <f ca="1">BB3+BC3</f>
        <v>0</v>
      </c>
      <c r="AX58" s="23"/>
      <c r="AY58" s="23">
        <f ca="1">BE3+BF3</f>
        <v>0</v>
      </c>
      <c r="AZ58" s="23"/>
      <c r="BA58">
        <f ca="1">SUM(AM58:AZ58)+BQ58</f>
        <v>182</v>
      </c>
      <c r="BC58">
        <f ca="1">BA58-MIN(AM58:AZ58)</f>
        <v>182</v>
      </c>
      <c r="BE58" t="s">
        <v>255</v>
      </c>
      <c r="BF58" t="s">
        <v>56</v>
      </c>
      <c r="BG58" s="23">
        <f>AP3</f>
        <v>50</v>
      </c>
      <c r="BH58" s="23"/>
      <c r="BI58" s="23">
        <f>AU3</f>
        <v>0</v>
      </c>
      <c r="BJ58" s="23"/>
      <c r="BK58" s="23">
        <f>AX3</f>
        <v>0</v>
      </c>
      <c r="BL58" s="23"/>
      <c r="BM58" s="23">
        <f>BA3</f>
        <v>0</v>
      </c>
      <c r="BN58" s="23"/>
      <c r="BO58" s="23">
        <f>BD3</f>
        <v>0</v>
      </c>
      <c r="BP58" s="23"/>
      <c r="BQ58">
        <f>SUM(BG58:BP58)</f>
        <v>50</v>
      </c>
      <c r="BS58" s="23">
        <f>BY3+BZ3</f>
        <v>0</v>
      </c>
      <c r="BT58" s="23"/>
      <c r="BU58">
        <f>SUM(BG58:BT58)</f>
        <v>100</v>
      </c>
    </row>
    <row r="59" spans="1:73" x14ac:dyDescent="0.25">
      <c r="A59" t="str" cm="1">
        <f t="array" aca="1" ref="A59:S112" ca="1">_xlfn._xlws.SORT(AK57:BC110,19,-1,FALSE)</f>
        <v>Team Name</v>
      </c>
      <c r="B59" t="str">
        <f ca="1"/>
        <v>Abrv</v>
      </c>
      <c r="C59" t="str">
        <f ca="1"/>
        <v>R1</v>
      </c>
      <c r="D59">
        <f ca="1"/>
        <v>0</v>
      </c>
      <c r="E59" t="str">
        <f ca="1"/>
        <v>R2</v>
      </c>
      <c r="F59">
        <f ca="1"/>
        <v>0</v>
      </c>
      <c r="G59" t="str">
        <f ca="1"/>
        <v>R3</v>
      </c>
      <c r="H59">
        <f ca="1"/>
        <v>0</v>
      </c>
      <c r="I59" t="str">
        <f ca="1"/>
        <v>R4</v>
      </c>
      <c r="J59">
        <f ca="1"/>
        <v>0</v>
      </c>
      <c r="K59" t="str">
        <f ca="1"/>
        <v>R5</v>
      </c>
      <c r="L59">
        <f ca="1"/>
        <v>0</v>
      </c>
      <c r="M59" t="str">
        <f ca="1"/>
        <v>R6</v>
      </c>
      <c r="N59">
        <f ca="1"/>
        <v>0</v>
      </c>
      <c r="O59" t="str">
        <f ca="1"/>
        <v>R7</v>
      </c>
      <c r="P59">
        <f ca="1"/>
        <v>0</v>
      </c>
      <c r="Q59" t="str">
        <f ca="1"/>
        <v>Total</v>
      </c>
      <c r="R59">
        <f ca="1"/>
        <v>0</v>
      </c>
      <c r="S59" t="str">
        <f ca="1"/>
        <v>Real</v>
      </c>
      <c r="AK59" t="s">
        <v>58</v>
      </c>
      <c r="AL59" t="s">
        <v>59</v>
      </c>
      <c r="AM59" s="23">
        <f t="shared" ref="AM59:AM110" ca="1" si="2">AN4+AO4</f>
        <v>63</v>
      </c>
      <c r="AN59" s="23"/>
      <c r="AO59" s="23">
        <f t="shared" ref="AO59:AO110" ca="1" si="3">AQ4+AR4</f>
        <v>97</v>
      </c>
      <c r="AP59" s="23"/>
      <c r="AQ59" s="23">
        <f t="shared" ref="AQ59:AQ110" ca="1" si="4">AS4+AT4</f>
        <v>0</v>
      </c>
      <c r="AR59" s="23"/>
      <c r="AS59" s="23">
        <f t="shared" ref="AS59:AS110" ca="1" si="5">AV4+AW4</f>
        <v>0</v>
      </c>
      <c r="AT59" s="23"/>
      <c r="AU59" s="23">
        <f t="shared" ref="AU59:AU110" ca="1" si="6">AZ4+AY4</f>
        <v>0</v>
      </c>
      <c r="AV59" s="23"/>
      <c r="AW59" s="23">
        <f t="shared" ref="AW59:AW110" ca="1" si="7">BB4+BC4</f>
        <v>0</v>
      </c>
      <c r="AX59" s="23"/>
      <c r="AY59" s="23">
        <f t="shared" ref="AY59:AY110" ca="1" si="8">BE4+BF4</f>
        <v>0</v>
      </c>
      <c r="AZ59" s="23"/>
      <c r="BA59">
        <f t="shared" ref="BA59:BA110" ca="1" si="9">SUM(AM59:AZ59)+BQ59</f>
        <v>205</v>
      </c>
      <c r="BC59">
        <f t="shared" ref="BC59:BC110" ca="1" si="10">BA59-MIN(AM59:AZ59)</f>
        <v>205</v>
      </c>
      <c r="BE59" t="s">
        <v>58</v>
      </c>
      <c r="BF59" t="s">
        <v>59</v>
      </c>
      <c r="BG59" s="23">
        <f t="shared" ref="BG59:BG110" si="11">AP4</f>
        <v>45</v>
      </c>
      <c r="BH59" s="23"/>
      <c r="BI59" s="23">
        <f t="shared" ref="BI59:BI110" si="12">AU4</f>
        <v>0</v>
      </c>
      <c r="BJ59" s="23"/>
      <c r="BK59" s="23">
        <f t="shared" ref="BK59:BK110" si="13">AX4</f>
        <v>0</v>
      </c>
      <c r="BL59" s="23"/>
      <c r="BM59" s="23">
        <f t="shared" ref="BM59:BM110" si="14">BA4</f>
        <v>0</v>
      </c>
      <c r="BN59" s="23"/>
      <c r="BO59" s="23">
        <f t="shared" ref="BO59:BO110" si="15">BD4</f>
        <v>0</v>
      </c>
      <c r="BP59" s="23"/>
      <c r="BQ59">
        <f t="shared" ref="BQ59:BQ110" si="16">SUM(BG59:BP59)</f>
        <v>45</v>
      </c>
      <c r="BS59" s="23">
        <f t="shared" ref="BS59:BS110" si="17">BY4+BZ4</f>
        <v>0</v>
      </c>
      <c r="BT59" s="23"/>
      <c r="BU59">
        <f t="shared" ref="BU59:BU110" si="18">SUM(BG59:BT59)</f>
        <v>90</v>
      </c>
    </row>
    <row r="60" spans="1:73" x14ac:dyDescent="0.25">
      <c r="A60" t="str">
        <f ca="1"/>
        <v>SUFST</v>
      </c>
      <c r="B60" t="str">
        <f ca="1"/>
        <v>STON</v>
      </c>
      <c r="C60">
        <f ca="1"/>
        <v>63</v>
      </c>
      <c r="D60">
        <f ca="1"/>
        <v>0</v>
      </c>
      <c r="E60">
        <f ca="1"/>
        <v>97</v>
      </c>
      <c r="F60">
        <f ca="1"/>
        <v>0</v>
      </c>
      <c r="G60">
        <f ca="1"/>
        <v>0</v>
      </c>
      <c r="H60">
        <f ca="1"/>
        <v>0</v>
      </c>
      <c r="I60">
        <f ca="1"/>
        <v>0</v>
      </c>
      <c r="J60">
        <f ca="1"/>
        <v>0</v>
      </c>
      <c r="K60">
        <f ca="1"/>
        <v>0</v>
      </c>
      <c r="L60">
        <f ca="1"/>
        <v>0</v>
      </c>
      <c r="M60">
        <f ca="1"/>
        <v>0</v>
      </c>
      <c r="N60">
        <f ca="1"/>
        <v>0</v>
      </c>
      <c r="O60">
        <f ca="1"/>
        <v>0</v>
      </c>
      <c r="P60">
        <f ca="1"/>
        <v>0</v>
      </c>
      <c r="Q60">
        <f ca="1"/>
        <v>205</v>
      </c>
      <c r="R60">
        <f ca="1"/>
        <v>0</v>
      </c>
      <c r="S60">
        <f ca="1"/>
        <v>205</v>
      </c>
      <c r="T60" t="str">
        <f ca="1">B60</f>
        <v>STON</v>
      </c>
      <c r="AK60" t="s">
        <v>60</v>
      </c>
      <c r="AL60" t="s">
        <v>61</v>
      </c>
      <c r="AM60" s="23">
        <f t="shared" ca="1" si="2"/>
        <v>74</v>
      </c>
      <c r="AN60" s="23"/>
      <c r="AO60" s="23">
        <f t="shared" ca="1" si="3"/>
        <v>64</v>
      </c>
      <c r="AP60" s="23"/>
      <c r="AQ60" s="23">
        <f t="shared" ca="1" si="4"/>
        <v>0</v>
      </c>
      <c r="AR60" s="23"/>
      <c r="AS60" s="23">
        <f t="shared" ca="1" si="5"/>
        <v>0</v>
      </c>
      <c r="AT60" s="23"/>
      <c r="AU60" s="23">
        <f t="shared" ca="1" si="6"/>
        <v>0</v>
      </c>
      <c r="AV60" s="23"/>
      <c r="AW60" s="23">
        <f t="shared" ca="1" si="7"/>
        <v>0</v>
      </c>
      <c r="AX60" s="23"/>
      <c r="AY60" s="23">
        <f t="shared" ca="1" si="8"/>
        <v>0</v>
      </c>
      <c r="AZ60" s="23"/>
      <c r="BA60">
        <f t="shared" ca="1" si="9"/>
        <v>158</v>
      </c>
      <c r="BC60">
        <f t="shared" ca="1" si="10"/>
        <v>158</v>
      </c>
      <c r="BE60" t="s">
        <v>60</v>
      </c>
      <c r="BF60" t="s">
        <v>61</v>
      </c>
      <c r="BG60" s="23">
        <f t="shared" si="11"/>
        <v>20</v>
      </c>
      <c r="BH60" s="23"/>
      <c r="BI60" s="23">
        <f t="shared" si="12"/>
        <v>0</v>
      </c>
      <c r="BJ60" s="23"/>
      <c r="BK60" s="23">
        <f t="shared" si="13"/>
        <v>0</v>
      </c>
      <c r="BL60" s="23"/>
      <c r="BM60" s="23">
        <f t="shared" si="14"/>
        <v>0</v>
      </c>
      <c r="BN60" s="23"/>
      <c r="BO60" s="23">
        <f t="shared" si="15"/>
        <v>0</v>
      </c>
      <c r="BP60" s="23"/>
      <c r="BQ60">
        <f t="shared" si="16"/>
        <v>20</v>
      </c>
      <c r="BS60" s="23">
        <f t="shared" si="17"/>
        <v>0</v>
      </c>
      <c r="BT60" s="23"/>
      <c r="BU60">
        <f t="shared" si="18"/>
        <v>40</v>
      </c>
    </row>
    <row r="61" spans="1:73" x14ac:dyDescent="0.25">
      <c r="A61" t="str">
        <f ca="1"/>
        <v>NCME Racing</v>
      </c>
      <c r="B61" t="str">
        <f ca="1"/>
        <v>NCME</v>
      </c>
      <c r="C61">
        <f ca="1"/>
        <v>82</v>
      </c>
      <c r="D61">
        <f ca="1"/>
        <v>0</v>
      </c>
      <c r="E61">
        <f ca="1"/>
        <v>64</v>
      </c>
      <c r="F61">
        <f ca="1"/>
        <v>0</v>
      </c>
      <c r="G61">
        <f ca="1"/>
        <v>0</v>
      </c>
      <c r="H61">
        <f ca="1"/>
        <v>0</v>
      </c>
      <c r="I61">
        <f ca="1"/>
        <v>0</v>
      </c>
      <c r="J61">
        <f ca="1"/>
        <v>0</v>
      </c>
      <c r="K61">
        <f ca="1"/>
        <v>0</v>
      </c>
      <c r="L61">
        <f ca="1"/>
        <v>0</v>
      </c>
      <c r="M61">
        <f ca="1"/>
        <v>0</v>
      </c>
      <c r="N61">
        <f ca="1"/>
        <v>0</v>
      </c>
      <c r="O61">
        <f ca="1"/>
        <v>0</v>
      </c>
      <c r="P61">
        <f ca="1"/>
        <v>0</v>
      </c>
      <c r="Q61">
        <f ca="1"/>
        <v>188</v>
      </c>
      <c r="R61">
        <f ca="1"/>
        <v>0</v>
      </c>
      <c r="S61">
        <f ca="1"/>
        <v>188</v>
      </c>
      <c r="T61" t="str">
        <f t="shared" ref="T61:T112" ca="1" si="19">B61</f>
        <v>NCME</v>
      </c>
      <c r="AK61" t="s">
        <v>256</v>
      </c>
      <c r="AL61" t="s">
        <v>62</v>
      </c>
      <c r="AM61" s="23">
        <f t="shared" ca="1" si="2"/>
        <v>82</v>
      </c>
      <c r="AN61" s="23"/>
      <c r="AO61" s="23">
        <f t="shared" ca="1" si="3"/>
        <v>64</v>
      </c>
      <c r="AP61" s="23"/>
      <c r="AQ61" s="23">
        <f t="shared" ca="1" si="4"/>
        <v>0</v>
      </c>
      <c r="AR61" s="23"/>
      <c r="AS61" s="23">
        <f t="shared" ca="1" si="5"/>
        <v>0</v>
      </c>
      <c r="AT61" s="23"/>
      <c r="AU61" s="23">
        <f t="shared" ca="1" si="6"/>
        <v>0</v>
      </c>
      <c r="AV61" s="23"/>
      <c r="AW61" s="23">
        <f t="shared" ca="1" si="7"/>
        <v>0</v>
      </c>
      <c r="AX61" s="23"/>
      <c r="AY61" s="23">
        <f t="shared" ca="1" si="8"/>
        <v>0</v>
      </c>
      <c r="AZ61" s="23"/>
      <c r="BA61">
        <f t="shared" ca="1" si="9"/>
        <v>188</v>
      </c>
      <c r="BC61">
        <f t="shared" ca="1" si="10"/>
        <v>188</v>
      </c>
      <c r="BE61" t="s">
        <v>256</v>
      </c>
      <c r="BF61" t="s">
        <v>62</v>
      </c>
      <c r="BG61" s="23">
        <f t="shared" si="11"/>
        <v>42</v>
      </c>
      <c r="BH61" s="23"/>
      <c r="BI61" s="23">
        <f t="shared" si="12"/>
        <v>0</v>
      </c>
      <c r="BJ61" s="23"/>
      <c r="BK61" s="23">
        <f t="shared" si="13"/>
        <v>0</v>
      </c>
      <c r="BL61" s="23"/>
      <c r="BM61" s="23">
        <f t="shared" si="14"/>
        <v>0</v>
      </c>
      <c r="BN61" s="23"/>
      <c r="BO61" s="23">
        <f t="shared" si="15"/>
        <v>0</v>
      </c>
      <c r="BP61" s="23"/>
      <c r="BQ61">
        <f t="shared" si="16"/>
        <v>42</v>
      </c>
      <c r="BS61" s="23">
        <f t="shared" si="17"/>
        <v>0</v>
      </c>
      <c r="BT61" s="23"/>
      <c r="BU61">
        <f t="shared" si="18"/>
        <v>84</v>
      </c>
    </row>
    <row r="62" spans="1:73" x14ac:dyDescent="0.25">
      <c r="A62" t="str">
        <f ca="1"/>
        <v>UG Racing</v>
      </c>
      <c r="B62" t="str">
        <f ca="1"/>
        <v>UGRA</v>
      </c>
      <c r="C62">
        <f ca="1"/>
        <v>36</v>
      </c>
      <c r="D62">
        <f ca="1"/>
        <v>0</v>
      </c>
      <c r="E62">
        <f ca="1"/>
        <v>96</v>
      </c>
      <c r="F62">
        <f ca="1"/>
        <v>0</v>
      </c>
      <c r="G62">
        <f ca="1"/>
        <v>0</v>
      </c>
      <c r="H62">
        <f ca="1"/>
        <v>0</v>
      </c>
      <c r="I62">
        <f ca="1"/>
        <v>0</v>
      </c>
      <c r="J62">
        <f ca="1"/>
        <v>0</v>
      </c>
      <c r="K62">
        <f ca="1"/>
        <v>0</v>
      </c>
      <c r="L62">
        <f ca="1"/>
        <v>0</v>
      </c>
      <c r="M62">
        <f ca="1"/>
        <v>0</v>
      </c>
      <c r="N62">
        <f ca="1"/>
        <v>0</v>
      </c>
      <c r="O62">
        <f ca="1"/>
        <v>0</v>
      </c>
      <c r="P62">
        <f ca="1"/>
        <v>0</v>
      </c>
      <c r="Q62">
        <f ca="1"/>
        <v>182</v>
      </c>
      <c r="R62">
        <f ca="1"/>
        <v>0</v>
      </c>
      <c r="S62">
        <f ca="1"/>
        <v>182</v>
      </c>
      <c r="T62" t="str">
        <f t="shared" ca="1" si="19"/>
        <v>UGRA</v>
      </c>
      <c r="AK62" t="s">
        <v>257</v>
      </c>
      <c r="AL62" t="s">
        <v>63</v>
      </c>
      <c r="AM62" s="23">
        <f t="shared" ca="1" si="2"/>
        <v>56</v>
      </c>
      <c r="AN62" s="23"/>
      <c r="AO62" s="23">
        <f t="shared" ca="1" si="3"/>
        <v>31</v>
      </c>
      <c r="AP62" s="23"/>
      <c r="AQ62" s="23">
        <f t="shared" ca="1" si="4"/>
        <v>0</v>
      </c>
      <c r="AR62" s="23"/>
      <c r="AS62" s="23">
        <f t="shared" ca="1" si="5"/>
        <v>0</v>
      </c>
      <c r="AT62" s="23"/>
      <c r="AU62" s="23">
        <f t="shared" ca="1" si="6"/>
        <v>0</v>
      </c>
      <c r="AV62" s="23"/>
      <c r="AW62" s="23">
        <f t="shared" ca="1" si="7"/>
        <v>0</v>
      </c>
      <c r="AX62" s="23"/>
      <c r="AY62" s="23">
        <f t="shared" ca="1" si="8"/>
        <v>0</v>
      </c>
      <c r="AZ62" s="23"/>
      <c r="BA62">
        <f t="shared" ca="1" si="9"/>
        <v>87</v>
      </c>
      <c r="BC62">
        <f t="shared" ca="1" si="10"/>
        <v>87</v>
      </c>
      <c r="BE62" t="s">
        <v>257</v>
      </c>
      <c r="BF62" t="s">
        <v>63</v>
      </c>
      <c r="BG62" s="23">
        <f t="shared" si="11"/>
        <v>0</v>
      </c>
      <c r="BH62" s="23"/>
      <c r="BI62" s="23">
        <f t="shared" si="12"/>
        <v>0</v>
      </c>
      <c r="BJ62" s="23"/>
      <c r="BK62" s="23">
        <f t="shared" si="13"/>
        <v>0</v>
      </c>
      <c r="BL62" s="23"/>
      <c r="BM62" s="23">
        <f t="shared" si="14"/>
        <v>0</v>
      </c>
      <c r="BN62" s="23"/>
      <c r="BO62" s="23">
        <f t="shared" si="15"/>
        <v>0</v>
      </c>
      <c r="BP62" s="23"/>
      <c r="BQ62">
        <f t="shared" si="16"/>
        <v>0</v>
      </c>
      <c r="BS62" s="23">
        <f t="shared" si="17"/>
        <v>0</v>
      </c>
      <c r="BT62" s="23"/>
      <c r="BU62">
        <f t="shared" si="18"/>
        <v>0</v>
      </c>
    </row>
    <row r="63" spans="1:73" x14ac:dyDescent="0.25">
      <c r="A63" t="str">
        <f ca="1"/>
        <v>UVigo Motorsport</v>
      </c>
      <c r="B63" t="str">
        <f ca="1"/>
        <v>VIGO</v>
      </c>
      <c r="C63">
        <f ca="1"/>
        <v>96</v>
      </c>
      <c r="D63">
        <f ca="1"/>
        <v>0</v>
      </c>
      <c r="E63">
        <f ca="1"/>
        <v>51</v>
      </c>
      <c r="F63">
        <f ca="1"/>
        <v>0</v>
      </c>
      <c r="G63">
        <f ca="1"/>
        <v>0</v>
      </c>
      <c r="H63">
        <f ca="1"/>
        <v>0</v>
      </c>
      <c r="I63">
        <f ca="1"/>
        <v>0</v>
      </c>
      <c r="J63">
        <f ca="1"/>
        <v>0</v>
      </c>
      <c r="K63">
        <f ca="1"/>
        <v>0</v>
      </c>
      <c r="L63">
        <f ca="1"/>
        <v>0</v>
      </c>
      <c r="M63">
        <f ca="1"/>
        <v>0</v>
      </c>
      <c r="N63">
        <f ca="1"/>
        <v>0</v>
      </c>
      <c r="O63">
        <f ca="1"/>
        <v>0</v>
      </c>
      <c r="P63">
        <f ca="1"/>
        <v>0</v>
      </c>
      <c r="Q63">
        <f ca="1"/>
        <v>179</v>
      </c>
      <c r="R63">
        <f ca="1"/>
        <v>0</v>
      </c>
      <c r="S63">
        <f ca="1"/>
        <v>179</v>
      </c>
      <c r="T63" t="str">
        <f t="shared" ca="1" si="19"/>
        <v>VIGO</v>
      </c>
      <c r="AK63" t="s">
        <v>17</v>
      </c>
      <c r="AL63" t="s">
        <v>64</v>
      </c>
      <c r="AM63" s="23">
        <f t="shared" ca="1" si="2"/>
        <v>67</v>
      </c>
      <c r="AN63" s="23"/>
      <c r="AO63" s="23">
        <f t="shared" ca="1" si="3"/>
        <v>78</v>
      </c>
      <c r="AP63" s="23"/>
      <c r="AQ63" s="23">
        <f t="shared" ca="1" si="4"/>
        <v>0</v>
      </c>
      <c r="AR63" s="23"/>
      <c r="AS63" s="23">
        <f t="shared" ca="1" si="5"/>
        <v>0</v>
      </c>
      <c r="AT63" s="23"/>
      <c r="AU63" s="23">
        <f t="shared" ca="1" si="6"/>
        <v>0</v>
      </c>
      <c r="AV63" s="23"/>
      <c r="AW63" s="23">
        <f t="shared" ca="1" si="7"/>
        <v>0</v>
      </c>
      <c r="AX63" s="23"/>
      <c r="AY63" s="23">
        <f t="shared" ca="1" si="8"/>
        <v>0</v>
      </c>
      <c r="AZ63" s="23"/>
      <c r="BA63">
        <f t="shared" ca="1" si="9"/>
        <v>145</v>
      </c>
      <c r="BC63">
        <f t="shared" ca="1" si="10"/>
        <v>145</v>
      </c>
      <c r="BE63" t="s">
        <v>17</v>
      </c>
      <c r="BF63" t="s">
        <v>64</v>
      </c>
      <c r="BG63" s="23">
        <f t="shared" si="11"/>
        <v>0</v>
      </c>
      <c r="BH63" s="23"/>
      <c r="BI63" s="23">
        <f t="shared" si="12"/>
        <v>0</v>
      </c>
      <c r="BJ63" s="23"/>
      <c r="BK63" s="23">
        <f t="shared" si="13"/>
        <v>0</v>
      </c>
      <c r="BL63" s="23"/>
      <c r="BM63" s="23">
        <f t="shared" si="14"/>
        <v>0</v>
      </c>
      <c r="BN63" s="23"/>
      <c r="BO63" s="23">
        <f t="shared" si="15"/>
        <v>0</v>
      </c>
      <c r="BP63" s="23"/>
      <c r="BQ63">
        <f t="shared" si="16"/>
        <v>0</v>
      </c>
      <c r="BS63" s="23">
        <f t="shared" si="17"/>
        <v>0</v>
      </c>
      <c r="BT63" s="23"/>
      <c r="BU63">
        <f t="shared" si="18"/>
        <v>0</v>
      </c>
    </row>
    <row r="64" spans="1:73" x14ac:dyDescent="0.25">
      <c r="A64" t="str">
        <f ca="1"/>
        <v>HERT</v>
      </c>
      <c r="B64" t="str">
        <f ca="1"/>
        <v>HULLA</v>
      </c>
      <c r="C64">
        <f ca="1"/>
        <v>74</v>
      </c>
      <c r="D64">
        <f ca="1"/>
        <v>0</v>
      </c>
      <c r="E64">
        <f ca="1"/>
        <v>64</v>
      </c>
      <c r="F64">
        <f ca="1"/>
        <v>0</v>
      </c>
      <c r="G64">
        <f ca="1"/>
        <v>0</v>
      </c>
      <c r="H64">
        <f ca="1"/>
        <v>0</v>
      </c>
      <c r="I64">
        <f ca="1"/>
        <v>0</v>
      </c>
      <c r="J64">
        <f ca="1"/>
        <v>0</v>
      </c>
      <c r="K64">
        <f ca="1"/>
        <v>0</v>
      </c>
      <c r="L64">
        <f ca="1"/>
        <v>0</v>
      </c>
      <c r="M64">
        <f ca="1"/>
        <v>0</v>
      </c>
      <c r="N64">
        <f ca="1"/>
        <v>0</v>
      </c>
      <c r="O64">
        <f ca="1"/>
        <v>0</v>
      </c>
      <c r="P64">
        <f ca="1"/>
        <v>0</v>
      </c>
      <c r="Q64">
        <f ca="1"/>
        <v>158</v>
      </c>
      <c r="R64">
        <f ca="1"/>
        <v>0</v>
      </c>
      <c r="S64">
        <f ca="1"/>
        <v>158</v>
      </c>
      <c r="T64" t="str">
        <f t="shared" ca="1" si="19"/>
        <v>HULLA</v>
      </c>
      <c r="AK64" t="s">
        <v>65</v>
      </c>
      <c r="AL64" t="s">
        <v>65</v>
      </c>
      <c r="AM64" s="23">
        <f t="shared" ca="1" si="2"/>
        <v>42</v>
      </c>
      <c r="AN64" s="23"/>
      <c r="AO64" s="23">
        <f t="shared" ca="1" si="3"/>
        <v>0</v>
      </c>
      <c r="AP64" s="23"/>
      <c r="AQ64" s="23">
        <f t="shared" ca="1" si="4"/>
        <v>0</v>
      </c>
      <c r="AR64" s="23"/>
      <c r="AS64" s="23">
        <f t="shared" ca="1" si="5"/>
        <v>0</v>
      </c>
      <c r="AT64" s="23"/>
      <c r="AU64" s="23">
        <f t="shared" ca="1" si="6"/>
        <v>0</v>
      </c>
      <c r="AV64" s="23"/>
      <c r="AW64" s="23">
        <f t="shared" ca="1" si="7"/>
        <v>0</v>
      </c>
      <c r="AX64" s="23"/>
      <c r="AY64" s="23">
        <f t="shared" ca="1" si="8"/>
        <v>0</v>
      </c>
      <c r="AZ64" s="23"/>
      <c r="BA64">
        <f t="shared" ca="1" si="9"/>
        <v>78</v>
      </c>
      <c r="BC64">
        <f t="shared" ca="1" si="10"/>
        <v>78</v>
      </c>
      <c r="BE64" t="s">
        <v>65</v>
      </c>
      <c r="BF64" t="s">
        <v>65</v>
      </c>
      <c r="BG64" s="23">
        <f t="shared" si="11"/>
        <v>36</v>
      </c>
      <c r="BH64" s="23"/>
      <c r="BI64" s="23">
        <f t="shared" si="12"/>
        <v>0</v>
      </c>
      <c r="BJ64" s="23"/>
      <c r="BK64" s="23">
        <f t="shared" si="13"/>
        <v>0</v>
      </c>
      <c r="BL64" s="23"/>
      <c r="BM64" s="23">
        <f t="shared" si="14"/>
        <v>0</v>
      </c>
      <c r="BN64" s="23"/>
      <c r="BO64" s="23">
        <f t="shared" si="15"/>
        <v>0</v>
      </c>
      <c r="BP64" s="23"/>
      <c r="BQ64">
        <f t="shared" si="16"/>
        <v>36</v>
      </c>
      <c r="BS64" s="23">
        <f t="shared" si="17"/>
        <v>0</v>
      </c>
      <c r="BT64" s="23"/>
      <c r="BU64">
        <f t="shared" si="18"/>
        <v>72</v>
      </c>
    </row>
    <row r="65" spans="1:73" x14ac:dyDescent="0.25">
      <c r="A65" t="str">
        <f ca="1"/>
        <v>Salford Racing</v>
      </c>
      <c r="B65" t="str">
        <f ca="1"/>
        <v>SALF</v>
      </c>
      <c r="C65">
        <f ca="1"/>
        <v>67</v>
      </c>
      <c r="D65">
        <f ca="1"/>
        <v>0</v>
      </c>
      <c r="E65">
        <f ca="1"/>
        <v>78</v>
      </c>
      <c r="F65">
        <f ca="1"/>
        <v>0</v>
      </c>
      <c r="G65">
        <f ca="1"/>
        <v>0</v>
      </c>
      <c r="H65">
        <f ca="1"/>
        <v>0</v>
      </c>
      <c r="I65">
        <f ca="1"/>
        <v>0</v>
      </c>
      <c r="J65">
        <f ca="1"/>
        <v>0</v>
      </c>
      <c r="K65">
        <f ca="1"/>
        <v>0</v>
      </c>
      <c r="L65">
        <f ca="1"/>
        <v>0</v>
      </c>
      <c r="M65">
        <f ca="1"/>
        <v>0</v>
      </c>
      <c r="N65">
        <f ca="1"/>
        <v>0</v>
      </c>
      <c r="O65">
        <f ca="1"/>
        <v>0</v>
      </c>
      <c r="P65">
        <f ca="1"/>
        <v>0</v>
      </c>
      <c r="Q65">
        <f ca="1"/>
        <v>145</v>
      </c>
      <c r="R65">
        <f ca="1"/>
        <v>0</v>
      </c>
      <c r="S65">
        <f ca="1"/>
        <v>145</v>
      </c>
      <c r="T65" t="str">
        <f t="shared" ca="1" si="19"/>
        <v>SALF</v>
      </c>
      <c r="AK65" t="s">
        <v>258</v>
      </c>
      <c r="AL65" t="s">
        <v>66</v>
      </c>
      <c r="AM65" s="23">
        <f t="shared" ca="1" si="2"/>
        <v>47</v>
      </c>
      <c r="AN65" s="23"/>
      <c r="AO65" s="23">
        <f t="shared" ca="1" si="3"/>
        <v>54</v>
      </c>
      <c r="AP65" s="23"/>
      <c r="AQ65" s="23">
        <f t="shared" ca="1" si="4"/>
        <v>0</v>
      </c>
      <c r="AR65" s="23"/>
      <c r="AS65" s="23">
        <f t="shared" ca="1" si="5"/>
        <v>0</v>
      </c>
      <c r="AT65" s="23"/>
      <c r="AU65" s="23">
        <f t="shared" ca="1" si="6"/>
        <v>0</v>
      </c>
      <c r="AV65" s="23"/>
      <c r="AW65" s="23">
        <f t="shared" ca="1" si="7"/>
        <v>0</v>
      </c>
      <c r="AX65" s="23"/>
      <c r="AY65" s="23">
        <f t="shared" ca="1" si="8"/>
        <v>0</v>
      </c>
      <c r="AZ65" s="23"/>
      <c r="BA65">
        <f t="shared" ca="1" si="9"/>
        <v>129</v>
      </c>
      <c r="BC65">
        <f t="shared" ca="1" si="10"/>
        <v>129</v>
      </c>
      <c r="BE65" t="s">
        <v>258</v>
      </c>
      <c r="BF65" t="s">
        <v>66</v>
      </c>
      <c r="BG65" s="23">
        <f t="shared" si="11"/>
        <v>28</v>
      </c>
      <c r="BH65" s="23"/>
      <c r="BI65" s="23">
        <f t="shared" si="12"/>
        <v>0</v>
      </c>
      <c r="BJ65" s="23"/>
      <c r="BK65" s="23">
        <f t="shared" si="13"/>
        <v>0</v>
      </c>
      <c r="BL65" s="23"/>
      <c r="BM65" s="23">
        <f t="shared" si="14"/>
        <v>0</v>
      </c>
      <c r="BN65" s="23"/>
      <c r="BO65" s="23">
        <f t="shared" si="15"/>
        <v>0</v>
      </c>
      <c r="BP65" s="23"/>
      <c r="BQ65">
        <f t="shared" si="16"/>
        <v>28</v>
      </c>
      <c r="BS65" s="23">
        <f t="shared" si="17"/>
        <v>0</v>
      </c>
      <c r="BT65" s="23"/>
      <c r="BU65">
        <f t="shared" si="18"/>
        <v>56</v>
      </c>
    </row>
    <row r="66" spans="1:73" x14ac:dyDescent="0.25">
      <c r="A66" t="str">
        <f ca="1"/>
        <v>UCD Formula Student</v>
      </c>
      <c r="B66" t="str">
        <f ca="1"/>
        <v>UCD</v>
      </c>
      <c r="C66">
        <f ca="1"/>
        <v>55</v>
      </c>
      <c r="D66">
        <f ca="1"/>
        <v>0</v>
      </c>
      <c r="E66">
        <f ca="1"/>
        <v>47</v>
      </c>
      <c r="F66">
        <f ca="1"/>
        <v>0</v>
      </c>
      <c r="G66">
        <f ca="1"/>
        <v>0</v>
      </c>
      <c r="H66">
        <f ca="1"/>
        <v>0</v>
      </c>
      <c r="I66">
        <f ca="1"/>
        <v>0</v>
      </c>
      <c r="J66">
        <f ca="1"/>
        <v>0</v>
      </c>
      <c r="K66">
        <f ca="1"/>
        <v>0</v>
      </c>
      <c r="L66">
        <f ca="1"/>
        <v>0</v>
      </c>
      <c r="M66">
        <f ca="1"/>
        <v>0</v>
      </c>
      <c r="N66">
        <f ca="1"/>
        <v>0</v>
      </c>
      <c r="O66">
        <f ca="1"/>
        <v>0</v>
      </c>
      <c r="P66">
        <f ca="1"/>
        <v>0</v>
      </c>
      <c r="Q66">
        <f ca="1"/>
        <v>142</v>
      </c>
      <c r="R66">
        <f ca="1"/>
        <v>0</v>
      </c>
      <c r="S66">
        <f ca="1"/>
        <v>142</v>
      </c>
      <c r="T66" t="str">
        <f t="shared" ca="1" si="19"/>
        <v>UCD</v>
      </c>
      <c r="AK66" t="s">
        <v>259</v>
      </c>
      <c r="AL66" t="s">
        <v>67</v>
      </c>
      <c r="AM66" s="23">
        <f t="shared" ca="1" si="2"/>
        <v>22</v>
      </c>
      <c r="AN66" s="23"/>
      <c r="AO66" s="23">
        <f t="shared" ca="1" si="3"/>
        <v>30</v>
      </c>
      <c r="AP66" s="23"/>
      <c r="AQ66" s="23">
        <f t="shared" ca="1" si="4"/>
        <v>0</v>
      </c>
      <c r="AR66" s="23"/>
      <c r="AS66" s="23">
        <f t="shared" ca="1" si="5"/>
        <v>0</v>
      </c>
      <c r="AT66" s="23"/>
      <c r="AU66" s="23">
        <f t="shared" ca="1" si="6"/>
        <v>0</v>
      </c>
      <c r="AV66" s="23"/>
      <c r="AW66" s="23">
        <f t="shared" ca="1" si="7"/>
        <v>0</v>
      </c>
      <c r="AX66" s="23"/>
      <c r="AY66" s="23">
        <f t="shared" ca="1" si="8"/>
        <v>0</v>
      </c>
      <c r="AZ66" s="23"/>
      <c r="BA66">
        <f t="shared" ca="1" si="9"/>
        <v>52</v>
      </c>
      <c r="BC66">
        <f t="shared" ca="1" si="10"/>
        <v>52</v>
      </c>
      <c r="BE66" t="s">
        <v>259</v>
      </c>
      <c r="BF66" t="s">
        <v>67</v>
      </c>
      <c r="BG66" s="23">
        <f t="shared" si="11"/>
        <v>0</v>
      </c>
      <c r="BH66" s="23"/>
      <c r="BI66" s="23">
        <f t="shared" si="12"/>
        <v>0</v>
      </c>
      <c r="BJ66" s="23"/>
      <c r="BK66" s="23">
        <f t="shared" si="13"/>
        <v>0</v>
      </c>
      <c r="BL66" s="23"/>
      <c r="BM66" s="23">
        <f t="shared" si="14"/>
        <v>0</v>
      </c>
      <c r="BN66" s="23"/>
      <c r="BO66" s="23">
        <f t="shared" si="15"/>
        <v>0</v>
      </c>
      <c r="BP66" s="23"/>
      <c r="BQ66">
        <f t="shared" si="16"/>
        <v>0</v>
      </c>
      <c r="BS66" s="23">
        <f t="shared" si="17"/>
        <v>0</v>
      </c>
      <c r="BT66" s="23"/>
      <c r="BU66">
        <f t="shared" si="18"/>
        <v>0</v>
      </c>
    </row>
    <row r="67" spans="1:73" x14ac:dyDescent="0.25">
      <c r="A67" t="str">
        <f ca="1"/>
        <v>UPRacing Alternative Fuel</v>
      </c>
      <c r="B67" t="str">
        <f ca="1"/>
        <v>UPRAF</v>
      </c>
      <c r="C67">
        <f ca="1"/>
        <v>65</v>
      </c>
      <c r="D67">
        <f ca="1"/>
        <v>0</v>
      </c>
      <c r="E67">
        <f ca="1"/>
        <v>71</v>
      </c>
      <c r="F67">
        <f ca="1"/>
        <v>0</v>
      </c>
      <c r="G67">
        <f ca="1"/>
        <v>0</v>
      </c>
      <c r="H67">
        <f ca="1"/>
        <v>0</v>
      </c>
      <c r="I67">
        <f ca="1"/>
        <v>0</v>
      </c>
      <c r="J67">
        <f ca="1"/>
        <v>0</v>
      </c>
      <c r="K67">
        <f ca="1"/>
        <v>0</v>
      </c>
      <c r="L67">
        <f ca="1"/>
        <v>0</v>
      </c>
      <c r="M67">
        <f ca="1"/>
        <v>0</v>
      </c>
      <c r="N67">
        <f ca="1"/>
        <v>0</v>
      </c>
      <c r="O67">
        <f ca="1"/>
        <v>0</v>
      </c>
      <c r="P67">
        <f ca="1"/>
        <v>0</v>
      </c>
      <c r="Q67">
        <f ca="1"/>
        <v>136</v>
      </c>
      <c r="R67">
        <f ca="1"/>
        <v>0</v>
      </c>
      <c r="S67">
        <f ca="1"/>
        <v>136</v>
      </c>
      <c r="T67" t="str">
        <f t="shared" ca="1" si="19"/>
        <v>UPRAF</v>
      </c>
      <c r="AK67" t="s">
        <v>25</v>
      </c>
      <c r="AL67" t="s">
        <v>68</v>
      </c>
      <c r="AM67" s="23">
        <f t="shared" ca="1" si="2"/>
        <v>0</v>
      </c>
      <c r="AN67" s="23"/>
      <c r="AO67" s="23">
        <f t="shared" ca="1" si="3"/>
        <v>31</v>
      </c>
      <c r="AP67" s="23"/>
      <c r="AQ67" s="23">
        <f t="shared" ca="1" si="4"/>
        <v>0</v>
      </c>
      <c r="AR67" s="23"/>
      <c r="AS67" s="23">
        <f t="shared" ca="1" si="5"/>
        <v>0</v>
      </c>
      <c r="AT67" s="23"/>
      <c r="AU67" s="23">
        <f t="shared" ca="1" si="6"/>
        <v>0</v>
      </c>
      <c r="AV67" s="23"/>
      <c r="AW67" s="23">
        <f t="shared" ca="1" si="7"/>
        <v>0</v>
      </c>
      <c r="AX67" s="23"/>
      <c r="AY67" s="23">
        <f t="shared" ca="1" si="8"/>
        <v>0</v>
      </c>
      <c r="AZ67" s="23"/>
      <c r="BA67">
        <f t="shared" ca="1" si="9"/>
        <v>31</v>
      </c>
      <c r="BC67">
        <f t="shared" ca="1" si="10"/>
        <v>31</v>
      </c>
      <c r="BE67" t="s">
        <v>25</v>
      </c>
      <c r="BF67" t="s">
        <v>68</v>
      </c>
      <c r="BG67" s="23">
        <f t="shared" si="11"/>
        <v>0</v>
      </c>
      <c r="BH67" s="23"/>
      <c r="BI67" s="23">
        <f t="shared" si="12"/>
        <v>0</v>
      </c>
      <c r="BJ67" s="23"/>
      <c r="BK67" s="23">
        <f t="shared" si="13"/>
        <v>0</v>
      </c>
      <c r="BL67" s="23"/>
      <c r="BM67" s="23">
        <f t="shared" si="14"/>
        <v>0</v>
      </c>
      <c r="BN67" s="23"/>
      <c r="BO67" s="23">
        <f t="shared" si="15"/>
        <v>0</v>
      </c>
      <c r="BP67" s="23"/>
      <c r="BQ67">
        <f t="shared" si="16"/>
        <v>0</v>
      </c>
      <c r="BS67" s="23">
        <f t="shared" si="17"/>
        <v>0</v>
      </c>
      <c r="BT67" s="23"/>
      <c r="BU67">
        <f t="shared" si="18"/>
        <v>0</v>
      </c>
    </row>
    <row r="68" spans="1:73" x14ac:dyDescent="0.25">
      <c r="A68" t="str">
        <f ca="1"/>
        <v>Cardiff Racing</v>
      </c>
      <c r="B68" t="str">
        <f ca="1"/>
        <v>CARD</v>
      </c>
      <c r="C68">
        <f ca="1"/>
        <v>47</v>
      </c>
      <c r="D68">
        <f ca="1"/>
        <v>0</v>
      </c>
      <c r="E68">
        <f ca="1"/>
        <v>54</v>
      </c>
      <c r="F68">
        <f ca="1"/>
        <v>0</v>
      </c>
      <c r="G68">
        <f ca="1"/>
        <v>0</v>
      </c>
      <c r="H68">
        <f ca="1"/>
        <v>0</v>
      </c>
      <c r="I68">
        <f ca="1"/>
        <v>0</v>
      </c>
      <c r="J68">
        <f ca="1"/>
        <v>0</v>
      </c>
      <c r="K68">
        <f ca="1"/>
        <v>0</v>
      </c>
      <c r="L68">
        <f ca="1"/>
        <v>0</v>
      </c>
      <c r="M68">
        <f ca="1"/>
        <v>0</v>
      </c>
      <c r="N68">
        <f ca="1"/>
        <v>0</v>
      </c>
      <c r="O68">
        <f ca="1"/>
        <v>0</v>
      </c>
      <c r="P68">
        <f ca="1"/>
        <v>0</v>
      </c>
      <c r="Q68">
        <f ca="1"/>
        <v>129</v>
      </c>
      <c r="R68">
        <f ca="1"/>
        <v>0</v>
      </c>
      <c r="S68">
        <f ca="1"/>
        <v>129</v>
      </c>
      <c r="T68" t="str">
        <f t="shared" ca="1" si="19"/>
        <v>CARD</v>
      </c>
      <c r="AK68" t="s">
        <v>260</v>
      </c>
      <c r="AL68" t="s">
        <v>71</v>
      </c>
      <c r="AM68" s="23">
        <f t="shared" ca="1" si="2"/>
        <v>26</v>
      </c>
      <c r="AN68" s="23"/>
      <c r="AO68" s="23">
        <f t="shared" ca="1" si="3"/>
        <v>0</v>
      </c>
      <c r="AP68" s="23"/>
      <c r="AQ68" s="23">
        <f t="shared" ca="1" si="4"/>
        <v>0</v>
      </c>
      <c r="AR68" s="23"/>
      <c r="AS68" s="23">
        <f t="shared" ca="1" si="5"/>
        <v>0</v>
      </c>
      <c r="AT68" s="23"/>
      <c r="AU68" s="23">
        <f t="shared" ca="1" si="6"/>
        <v>0</v>
      </c>
      <c r="AV68" s="23"/>
      <c r="AW68" s="23">
        <f t="shared" ca="1" si="7"/>
        <v>0</v>
      </c>
      <c r="AX68" s="23"/>
      <c r="AY68" s="23">
        <f t="shared" ca="1" si="8"/>
        <v>0</v>
      </c>
      <c r="AZ68" s="23"/>
      <c r="BA68">
        <f t="shared" ca="1" si="9"/>
        <v>26</v>
      </c>
      <c r="BC68">
        <f t="shared" ca="1" si="10"/>
        <v>26</v>
      </c>
      <c r="BE68" t="s">
        <v>260</v>
      </c>
      <c r="BF68" t="s">
        <v>71</v>
      </c>
      <c r="BG68" s="23">
        <f t="shared" si="11"/>
        <v>0</v>
      </c>
      <c r="BH68" s="23"/>
      <c r="BI68" s="23">
        <f t="shared" si="12"/>
        <v>0</v>
      </c>
      <c r="BJ68" s="23"/>
      <c r="BK68" s="23">
        <f t="shared" si="13"/>
        <v>0</v>
      </c>
      <c r="BL68" s="23"/>
      <c r="BM68" s="23">
        <f t="shared" si="14"/>
        <v>0</v>
      </c>
      <c r="BN68" s="23"/>
      <c r="BO68" s="23">
        <f t="shared" si="15"/>
        <v>0</v>
      </c>
      <c r="BP68" s="23"/>
      <c r="BQ68">
        <f t="shared" si="16"/>
        <v>0</v>
      </c>
      <c r="BS68" s="23">
        <f t="shared" si="17"/>
        <v>0</v>
      </c>
      <c r="BT68" s="23"/>
      <c r="BU68">
        <f t="shared" si="18"/>
        <v>0</v>
      </c>
    </row>
    <row r="69" spans="1:73" x14ac:dyDescent="0.25">
      <c r="A69" t="str">
        <f ca="1"/>
        <v>Team Bath Racing Electric</v>
      </c>
      <c r="B69" t="str">
        <f ca="1"/>
        <v>BATH</v>
      </c>
      <c r="C69">
        <f ca="1"/>
        <v>60</v>
      </c>
      <c r="D69">
        <f ca="1"/>
        <v>0</v>
      </c>
      <c r="E69">
        <f ca="1"/>
        <v>64</v>
      </c>
      <c r="F69">
        <f ca="1"/>
        <v>0</v>
      </c>
      <c r="G69">
        <f ca="1"/>
        <v>0</v>
      </c>
      <c r="H69">
        <f ca="1"/>
        <v>0</v>
      </c>
      <c r="I69">
        <f ca="1"/>
        <v>0</v>
      </c>
      <c r="J69">
        <f ca="1"/>
        <v>0</v>
      </c>
      <c r="K69">
        <f ca="1"/>
        <v>0</v>
      </c>
      <c r="L69">
        <f ca="1"/>
        <v>0</v>
      </c>
      <c r="M69">
        <f ca="1"/>
        <v>0</v>
      </c>
      <c r="N69">
        <f ca="1"/>
        <v>0</v>
      </c>
      <c r="O69">
        <f ca="1"/>
        <v>0</v>
      </c>
      <c r="P69">
        <f ca="1"/>
        <v>0</v>
      </c>
      <c r="Q69">
        <f ca="1"/>
        <v>124</v>
      </c>
      <c r="R69">
        <f ca="1"/>
        <v>0</v>
      </c>
      <c r="S69">
        <f ca="1"/>
        <v>124</v>
      </c>
      <c r="T69" t="str">
        <f t="shared" ca="1" si="19"/>
        <v>BATH</v>
      </c>
      <c r="AK69" t="s">
        <v>261</v>
      </c>
      <c r="AL69" t="s">
        <v>74</v>
      </c>
      <c r="AM69" s="23">
        <f t="shared" ca="1" si="2"/>
        <v>1</v>
      </c>
      <c r="AN69" s="23"/>
      <c r="AO69" s="23">
        <f t="shared" ca="1" si="3"/>
        <v>15</v>
      </c>
      <c r="AP69" s="23"/>
      <c r="AQ69" s="23">
        <f t="shared" ca="1" si="4"/>
        <v>0</v>
      </c>
      <c r="AR69" s="23"/>
      <c r="AS69" s="23">
        <f t="shared" ca="1" si="5"/>
        <v>0</v>
      </c>
      <c r="AT69" s="23"/>
      <c r="AU69" s="23">
        <f t="shared" ca="1" si="6"/>
        <v>0</v>
      </c>
      <c r="AV69" s="23"/>
      <c r="AW69" s="23">
        <f t="shared" ca="1" si="7"/>
        <v>0</v>
      </c>
      <c r="AX69" s="23"/>
      <c r="AY69" s="23">
        <f t="shared" ca="1" si="8"/>
        <v>0</v>
      </c>
      <c r="AZ69" s="23"/>
      <c r="BA69">
        <f t="shared" ca="1" si="9"/>
        <v>16</v>
      </c>
      <c r="BC69">
        <f t="shared" ca="1" si="10"/>
        <v>16</v>
      </c>
      <c r="BE69" t="s">
        <v>261</v>
      </c>
      <c r="BF69" t="s">
        <v>74</v>
      </c>
      <c r="BG69" s="23">
        <f t="shared" si="11"/>
        <v>0</v>
      </c>
      <c r="BH69" s="23"/>
      <c r="BI69" s="23">
        <f t="shared" si="12"/>
        <v>0</v>
      </c>
      <c r="BJ69" s="23"/>
      <c r="BK69" s="23">
        <f t="shared" si="13"/>
        <v>0</v>
      </c>
      <c r="BL69" s="23"/>
      <c r="BM69" s="23">
        <f t="shared" si="14"/>
        <v>0</v>
      </c>
      <c r="BN69" s="23"/>
      <c r="BO69" s="23">
        <f t="shared" si="15"/>
        <v>0</v>
      </c>
      <c r="BP69" s="23"/>
      <c r="BQ69">
        <f t="shared" si="16"/>
        <v>0</v>
      </c>
      <c r="BS69" s="23">
        <f t="shared" si="17"/>
        <v>0</v>
      </c>
      <c r="BT69" s="23"/>
      <c r="BU69">
        <f t="shared" si="18"/>
        <v>0</v>
      </c>
    </row>
    <row r="70" spans="1:73" x14ac:dyDescent="0.25">
      <c r="A70" t="str">
        <f ca="1"/>
        <v>oRgeyd Bird Racing</v>
      </c>
      <c r="B70" t="str">
        <f ca="1"/>
        <v>RBRT</v>
      </c>
      <c r="C70">
        <f ca="1"/>
        <v>47</v>
      </c>
      <c r="D70">
        <f ca="1"/>
        <v>0</v>
      </c>
      <c r="E70">
        <f ca="1"/>
        <v>42</v>
      </c>
      <c r="F70">
        <f ca="1"/>
        <v>0</v>
      </c>
      <c r="G70">
        <f ca="1"/>
        <v>0</v>
      </c>
      <c r="H70">
        <f ca="1"/>
        <v>0</v>
      </c>
      <c r="I70">
        <f ca="1"/>
        <v>0</v>
      </c>
      <c r="J70">
        <f ca="1"/>
        <v>0</v>
      </c>
      <c r="K70">
        <f ca="1"/>
        <v>0</v>
      </c>
      <c r="L70">
        <f ca="1"/>
        <v>0</v>
      </c>
      <c r="M70">
        <f ca="1"/>
        <v>0</v>
      </c>
      <c r="N70">
        <f ca="1"/>
        <v>0</v>
      </c>
      <c r="O70">
        <f ca="1"/>
        <v>0</v>
      </c>
      <c r="P70">
        <f ca="1"/>
        <v>0</v>
      </c>
      <c r="Q70">
        <f ca="1"/>
        <v>109</v>
      </c>
      <c r="R70">
        <f ca="1"/>
        <v>0</v>
      </c>
      <c r="S70">
        <f ca="1"/>
        <v>109</v>
      </c>
      <c r="T70" t="str">
        <f t="shared" ca="1" si="19"/>
        <v>RBRT</v>
      </c>
      <c r="AK70" t="s">
        <v>262</v>
      </c>
      <c r="AL70" t="s">
        <v>76</v>
      </c>
      <c r="AM70" s="23">
        <f t="shared" ca="1" si="2"/>
        <v>0</v>
      </c>
      <c r="AN70" s="23"/>
      <c r="AO70" s="23">
        <f t="shared" ca="1" si="3"/>
        <v>0</v>
      </c>
      <c r="AP70" s="23"/>
      <c r="AQ70" s="23">
        <f t="shared" ca="1" si="4"/>
        <v>0</v>
      </c>
      <c r="AR70" s="23"/>
      <c r="AS70" s="23">
        <f t="shared" ca="1" si="5"/>
        <v>0</v>
      </c>
      <c r="AT70" s="23"/>
      <c r="AU70" s="23">
        <f t="shared" ca="1" si="6"/>
        <v>0</v>
      </c>
      <c r="AV70" s="23"/>
      <c r="AW70" s="23">
        <f t="shared" ca="1" si="7"/>
        <v>0</v>
      </c>
      <c r="AX70" s="23"/>
      <c r="AY70" s="23">
        <f t="shared" ca="1" si="8"/>
        <v>0</v>
      </c>
      <c r="AZ70" s="23"/>
      <c r="BA70">
        <f t="shared" ca="1" si="9"/>
        <v>0</v>
      </c>
      <c r="BC70">
        <f t="shared" ca="1" si="10"/>
        <v>0</v>
      </c>
      <c r="BE70" t="s">
        <v>262</v>
      </c>
      <c r="BF70" t="s">
        <v>76</v>
      </c>
      <c r="BG70" s="23">
        <f t="shared" si="11"/>
        <v>0</v>
      </c>
      <c r="BH70" s="23"/>
      <c r="BI70" s="23">
        <f t="shared" si="12"/>
        <v>0</v>
      </c>
      <c r="BJ70" s="23"/>
      <c r="BK70" s="23">
        <f t="shared" si="13"/>
        <v>0</v>
      </c>
      <c r="BL70" s="23"/>
      <c r="BM70" s="23">
        <f t="shared" si="14"/>
        <v>0</v>
      </c>
      <c r="BN70" s="23"/>
      <c r="BO70" s="23">
        <f t="shared" si="15"/>
        <v>0</v>
      </c>
      <c r="BP70" s="23"/>
      <c r="BQ70">
        <f t="shared" si="16"/>
        <v>0</v>
      </c>
      <c r="BS70" s="23">
        <f t="shared" si="17"/>
        <v>0</v>
      </c>
      <c r="BT70" s="23"/>
      <c r="BU70">
        <f t="shared" si="18"/>
        <v>0</v>
      </c>
    </row>
    <row r="71" spans="1:73" x14ac:dyDescent="0.25">
      <c r="A71" t="str">
        <f ca="1"/>
        <v>MTU Formula Student</v>
      </c>
      <c r="B71" t="str">
        <f ca="1"/>
        <v>MTU</v>
      </c>
      <c r="C71">
        <f ca="1"/>
        <v>33</v>
      </c>
      <c r="D71">
        <f ca="1"/>
        <v>0</v>
      </c>
      <c r="E71">
        <f ca="1"/>
        <v>50</v>
      </c>
      <c r="F71">
        <f ca="1"/>
        <v>0</v>
      </c>
      <c r="G71">
        <f ca="1"/>
        <v>0</v>
      </c>
      <c r="H71">
        <f ca="1"/>
        <v>0</v>
      </c>
      <c r="I71">
        <f ca="1"/>
        <v>0</v>
      </c>
      <c r="J71">
        <f ca="1"/>
        <v>0</v>
      </c>
      <c r="K71">
        <f ca="1"/>
        <v>0</v>
      </c>
      <c r="L71">
        <f ca="1"/>
        <v>0</v>
      </c>
      <c r="M71">
        <f ca="1"/>
        <v>0</v>
      </c>
      <c r="N71">
        <f ca="1"/>
        <v>0</v>
      </c>
      <c r="O71">
        <f ca="1"/>
        <v>0</v>
      </c>
      <c r="P71">
        <f ca="1"/>
        <v>0</v>
      </c>
      <c r="Q71">
        <f ca="1"/>
        <v>103</v>
      </c>
      <c r="R71">
        <f ca="1"/>
        <v>0</v>
      </c>
      <c r="S71">
        <f ca="1"/>
        <v>103</v>
      </c>
      <c r="T71" t="str">
        <f t="shared" ca="1" si="19"/>
        <v>MTU</v>
      </c>
      <c r="AK71" t="s">
        <v>263</v>
      </c>
      <c r="AL71" t="s">
        <v>79</v>
      </c>
      <c r="AM71" s="23">
        <f t="shared" ca="1" si="2"/>
        <v>24</v>
      </c>
      <c r="AN71" s="23"/>
      <c r="AO71" s="23">
        <f t="shared" ca="1" si="3"/>
        <v>31</v>
      </c>
      <c r="AP71" s="23"/>
      <c r="AQ71" s="23">
        <f t="shared" ca="1" si="4"/>
        <v>0</v>
      </c>
      <c r="AR71" s="23"/>
      <c r="AS71" s="23">
        <f t="shared" ca="1" si="5"/>
        <v>0</v>
      </c>
      <c r="AT71" s="23"/>
      <c r="AU71" s="23">
        <f t="shared" ca="1" si="6"/>
        <v>0</v>
      </c>
      <c r="AV71" s="23"/>
      <c r="AW71" s="23">
        <f t="shared" ca="1" si="7"/>
        <v>0</v>
      </c>
      <c r="AX71" s="23"/>
      <c r="AY71" s="23">
        <f t="shared" ca="1" si="8"/>
        <v>0</v>
      </c>
      <c r="AZ71" s="23"/>
      <c r="BA71">
        <f t="shared" ca="1" si="9"/>
        <v>55</v>
      </c>
      <c r="BC71">
        <f t="shared" ca="1" si="10"/>
        <v>55</v>
      </c>
      <c r="BE71" t="s">
        <v>263</v>
      </c>
      <c r="BF71" t="s">
        <v>79</v>
      </c>
      <c r="BG71" s="23">
        <f t="shared" si="11"/>
        <v>0</v>
      </c>
      <c r="BH71" s="23"/>
      <c r="BI71" s="23">
        <f t="shared" si="12"/>
        <v>0</v>
      </c>
      <c r="BJ71" s="23"/>
      <c r="BK71" s="23">
        <f t="shared" si="13"/>
        <v>0</v>
      </c>
      <c r="BL71" s="23"/>
      <c r="BM71" s="23">
        <f t="shared" si="14"/>
        <v>0</v>
      </c>
      <c r="BN71" s="23"/>
      <c r="BO71" s="23">
        <f t="shared" si="15"/>
        <v>0</v>
      </c>
      <c r="BP71" s="23"/>
      <c r="BQ71">
        <f t="shared" si="16"/>
        <v>0</v>
      </c>
      <c r="BS71" s="23">
        <f t="shared" si="17"/>
        <v>0</v>
      </c>
      <c r="BT71" s="23"/>
      <c r="BU71">
        <f t="shared" si="18"/>
        <v>0</v>
      </c>
    </row>
    <row r="72" spans="1:73" x14ac:dyDescent="0.25">
      <c r="A72" t="str">
        <f ca="1"/>
        <v>Queen Mary Formula Student</v>
      </c>
      <c r="B72" t="str">
        <f ca="1"/>
        <v>QMFS</v>
      </c>
      <c r="C72">
        <f ca="1"/>
        <v>40</v>
      </c>
      <c r="D72">
        <f ca="1"/>
        <v>0</v>
      </c>
      <c r="E72">
        <f ca="1"/>
        <v>30</v>
      </c>
      <c r="F72">
        <f ca="1"/>
        <v>0</v>
      </c>
      <c r="G72">
        <f ca="1"/>
        <v>0</v>
      </c>
      <c r="H72">
        <f ca="1"/>
        <v>0</v>
      </c>
      <c r="I72">
        <f ca="1"/>
        <v>0</v>
      </c>
      <c r="J72">
        <f ca="1"/>
        <v>0</v>
      </c>
      <c r="K72">
        <f ca="1"/>
        <v>0</v>
      </c>
      <c r="L72">
        <f ca="1"/>
        <v>0</v>
      </c>
      <c r="M72">
        <f ca="1"/>
        <v>0</v>
      </c>
      <c r="N72">
        <f ca="1"/>
        <v>0</v>
      </c>
      <c r="O72">
        <f ca="1"/>
        <v>0</v>
      </c>
      <c r="P72">
        <f ca="1"/>
        <v>0</v>
      </c>
      <c r="Q72">
        <f ca="1"/>
        <v>100</v>
      </c>
      <c r="R72">
        <f ca="1"/>
        <v>0</v>
      </c>
      <c r="S72">
        <f ca="1"/>
        <v>100</v>
      </c>
      <c r="T72" t="str">
        <f t="shared" ca="1" si="19"/>
        <v>QMFS</v>
      </c>
      <c r="AK72" t="s">
        <v>264</v>
      </c>
      <c r="AL72" t="s">
        <v>84</v>
      </c>
      <c r="AM72" s="23">
        <f t="shared" ca="1" si="2"/>
        <v>25</v>
      </c>
      <c r="AN72" s="23"/>
      <c r="AO72" s="23">
        <f t="shared" ca="1" si="3"/>
        <v>0</v>
      </c>
      <c r="AP72" s="23"/>
      <c r="AQ72" s="23">
        <f t="shared" ca="1" si="4"/>
        <v>0</v>
      </c>
      <c r="AR72" s="23"/>
      <c r="AS72" s="23">
        <f t="shared" ca="1" si="5"/>
        <v>0</v>
      </c>
      <c r="AT72" s="23"/>
      <c r="AU72" s="23">
        <f t="shared" ca="1" si="6"/>
        <v>0</v>
      </c>
      <c r="AV72" s="23"/>
      <c r="AW72" s="23">
        <f t="shared" ca="1" si="7"/>
        <v>0</v>
      </c>
      <c r="AX72" s="23"/>
      <c r="AY72" s="23">
        <f t="shared" ca="1" si="8"/>
        <v>0</v>
      </c>
      <c r="AZ72" s="23"/>
      <c r="BA72">
        <f t="shared" ca="1" si="9"/>
        <v>25</v>
      </c>
      <c r="BC72">
        <f t="shared" ca="1" si="10"/>
        <v>25</v>
      </c>
      <c r="BE72" t="s">
        <v>264</v>
      </c>
      <c r="BF72" t="s">
        <v>84</v>
      </c>
      <c r="BG72" s="23">
        <f t="shared" si="11"/>
        <v>0</v>
      </c>
      <c r="BH72" s="23"/>
      <c r="BI72" s="23">
        <f t="shared" si="12"/>
        <v>0</v>
      </c>
      <c r="BJ72" s="23"/>
      <c r="BK72" s="23">
        <f t="shared" si="13"/>
        <v>0</v>
      </c>
      <c r="BL72" s="23"/>
      <c r="BM72" s="23">
        <f t="shared" si="14"/>
        <v>0</v>
      </c>
      <c r="BN72" s="23"/>
      <c r="BO72" s="23">
        <f t="shared" si="15"/>
        <v>0</v>
      </c>
      <c r="BP72" s="23"/>
      <c r="BQ72">
        <f t="shared" si="16"/>
        <v>0</v>
      </c>
      <c r="BS72" s="23">
        <f t="shared" si="17"/>
        <v>0</v>
      </c>
      <c r="BT72" s="23"/>
      <c r="BU72">
        <f t="shared" si="18"/>
        <v>0</v>
      </c>
    </row>
    <row r="73" spans="1:73" x14ac:dyDescent="0.25">
      <c r="A73" t="str">
        <f ca="1"/>
        <v>LJMU e-Racing</v>
      </c>
      <c r="B73" t="str">
        <f ca="1"/>
        <v>LJMU</v>
      </c>
      <c r="C73">
        <f ca="1"/>
        <v>24</v>
      </c>
      <c r="D73">
        <f ca="1"/>
        <v>0</v>
      </c>
      <c r="E73">
        <f ca="1"/>
        <v>70</v>
      </c>
      <c r="F73">
        <f ca="1"/>
        <v>0</v>
      </c>
      <c r="G73">
        <f ca="1"/>
        <v>0</v>
      </c>
      <c r="H73">
        <f ca="1"/>
        <v>0</v>
      </c>
      <c r="I73">
        <f ca="1"/>
        <v>0</v>
      </c>
      <c r="J73">
        <f ca="1"/>
        <v>0</v>
      </c>
      <c r="K73">
        <f ca="1"/>
        <v>0</v>
      </c>
      <c r="L73">
        <f ca="1"/>
        <v>0</v>
      </c>
      <c r="M73">
        <f ca="1"/>
        <v>0</v>
      </c>
      <c r="N73">
        <f ca="1"/>
        <v>0</v>
      </c>
      <c r="O73">
        <f ca="1"/>
        <v>0</v>
      </c>
      <c r="P73">
        <f ca="1"/>
        <v>0</v>
      </c>
      <c r="Q73">
        <f ca="1"/>
        <v>94</v>
      </c>
      <c r="R73">
        <f ca="1"/>
        <v>0</v>
      </c>
      <c r="S73">
        <f ca="1"/>
        <v>94</v>
      </c>
      <c r="T73" t="str">
        <f t="shared" ca="1" si="19"/>
        <v>LJMU</v>
      </c>
      <c r="AK73" t="s">
        <v>265</v>
      </c>
      <c r="AL73" t="s">
        <v>90</v>
      </c>
      <c r="AM73" s="23">
        <f t="shared" ca="1" si="2"/>
        <v>25</v>
      </c>
      <c r="AN73" s="23"/>
      <c r="AO73" s="23">
        <f t="shared" ca="1" si="3"/>
        <v>28</v>
      </c>
      <c r="AP73" s="23"/>
      <c r="AQ73" s="23">
        <f t="shared" ca="1" si="4"/>
        <v>0</v>
      </c>
      <c r="AR73" s="23"/>
      <c r="AS73" s="23">
        <f t="shared" ca="1" si="5"/>
        <v>0</v>
      </c>
      <c r="AT73" s="23"/>
      <c r="AU73" s="23">
        <f t="shared" ca="1" si="6"/>
        <v>0</v>
      </c>
      <c r="AV73" s="23"/>
      <c r="AW73" s="23">
        <f t="shared" ca="1" si="7"/>
        <v>0</v>
      </c>
      <c r="AX73" s="23"/>
      <c r="AY73" s="23">
        <f t="shared" ca="1" si="8"/>
        <v>0</v>
      </c>
      <c r="AZ73" s="23"/>
      <c r="BA73">
        <f t="shared" ca="1" si="9"/>
        <v>53</v>
      </c>
      <c r="BC73">
        <f t="shared" ca="1" si="10"/>
        <v>53</v>
      </c>
      <c r="BE73" t="s">
        <v>265</v>
      </c>
      <c r="BF73" t="s">
        <v>90</v>
      </c>
      <c r="BG73" s="23">
        <f t="shared" si="11"/>
        <v>0</v>
      </c>
      <c r="BH73" s="23"/>
      <c r="BI73" s="23">
        <f t="shared" si="12"/>
        <v>0</v>
      </c>
      <c r="BJ73" s="23"/>
      <c r="BK73" s="23">
        <f t="shared" si="13"/>
        <v>0</v>
      </c>
      <c r="BL73" s="23"/>
      <c r="BM73" s="23">
        <f t="shared" si="14"/>
        <v>0</v>
      </c>
      <c r="BN73" s="23"/>
      <c r="BO73" s="23">
        <f t="shared" si="15"/>
        <v>0</v>
      </c>
      <c r="BP73" s="23"/>
      <c r="BQ73">
        <f t="shared" si="16"/>
        <v>0</v>
      </c>
      <c r="BS73" s="23">
        <f t="shared" si="17"/>
        <v>0</v>
      </c>
      <c r="BT73" s="23"/>
      <c r="BU73">
        <f t="shared" si="18"/>
        <v>0</v>
      </c>
    </row>
    <row r="74" spans="1:73" x14ac:dyDescent="0.25">
      <c r="A74" t="str">
        <f ca="1"/>
        <v>XRacing Exeter</v>
      </c>
      <c r="B74" t="str">
        <f ca="1"/>
        <v>EXET</v>
      </c>
      <c r="C74">
        <f ca="1"/>
        <v>44</v>
      </c>
      <c r="D74">
        <f ca="1"/>
        <v>0</v>
      </c>
      <c r="E74">
        <f ca="1"/>
        <v>44</v>
      </c>
      <c r="F74">
        <f ca="1"/>
        <v>0</v>
      </c>
      <c r="G74">
        <f ca="1"/>
        <v>0</v>
      </c>
      <c r="H74">
        <f ca="1"/>
        <v>0</v>
      </c>
      <c r="I74">
        <f ca="1"/>
        <v>0</v>
      </c>
      <c r="J74">
        <f ca="1"/>
        <v>0</v>
      </c>
      <c r="K74">
        <f ca="1"/>
        <v>0</v>
      </c>
      <c r="L74">
        <f ca="1"/>
        <v>0</v>
      </c>
      <c r="M74">
        <f ca="1"/>
        <v>0</v>
      </c>
      <c r="N74">
        <f ca="1"/>
        <v>0</v>
      </c>
      <c r="O74">
        <f ca="1"/>
        <v>0</v>
      </c>
      <c r="P74">
        <f ca="1"/>
        <v>0</v>
      </c>
      <c r="Q74">
        <f ca="1"/>
        <v>88</v>
      </c>
      <c r="R74">
        <f ca="1"/>
        <v>0</v>
      </c>
      <c r="S74">
        <f ca="1"/>
        <v>88</v>
      </c>
      <c r="T74" t="str">
        <f t="shared" ca="1" si="19"/>
        <v>EXET</v>
      </c>
      <c r="AK74" t="s">
        <v>266</v>
      </c>
      <c r="AL74" t="s">
        <v>93</v>
      </c>
      <c r="AM74" s="23">
        <f t="shared" ca="1" si="2"/>
        <v>15</v>
      </c>
      <c r="AN74" s="23"/>
      <c r="AO74" s="23">
        <f t="shared" ca="1" si="3"/>
        <v>1</v>
      </c>
      <c r="AP74" s="23"/>
      <c r="AQ74" s="23">
        <f t="shared" ca="1" si="4"/>
        <v>0</v>
      </c>
      <c r="AR74" s="23"/>
      <c r="AS74" s="23">
        <f t="shared" ca="1" si="5"/>
        <v>0</v>
      </c>
      <c r="AT74" s="23"/>
      <c r="AU74" s="23">
        <f t="shared" ca="1" si="6"/>
        <v>0</v>
      </c>
      <c r="AV74" s="23"/>
      <c r="AW74" s="23">
        <f t="shared" ca="1" si="7"/>
        <v>0</v>
      </c>
      <c r="AX74" s="23"/>
      <c r="AY74" s="23">
        <f t="shared" ca="1" si="8"/>
        <v>0</v>
      </c>
      <c r="AZ74" s="23"/>
      <c r="BA74">
        <f t="shared" ca="1" si="9"/>
        <v>54</v>
      </c>
      <c r="BC74">
        <f t="shared" ca="1" si="10"/>
        <v>54</v>
      </c>
      <c r="BE74" t="s">
        <v>266</v>
      </c>
      <c r="BF74" t="s">
        <v>93</v>
      </c>
      <c r="BG74" s="23">
        <f t="shared" si="11"/>
        <v>38</v>
      </c>
      <c r="BH74" s="23"/>
      <c r="BI74" s="23">
        <f t="shared" si="12"/>
        <v>0</v>
      </c>
      <c r="BJ74" s="23"/>
      <c r="BK74" s="23">
        <f t="shared" si="13"/>
        <v>0</v>
      </c>
      <c r="BL74" s="23"/>
      <c r="BM74" s="23">
        <f t="shared" si="14"/>
        <v>0</v>
      </c>
      <c r="BN74" s="23"/>
      <c r="BO74" s="23">
        <f t="shared" si="15"/>
        <v>0</v>
      </c>
      <c r="BP74" s="23"/>
      <c r="BQ74">
        <f t="shared" si="16"/>
        <v>38</v>
      </c>
      <c r="BS74" s="23">
        <f t="shared" si="17"/>
        <v>0</v>
      </c>
      <c r="BT74" s="23"/>
      <c r="BU74">
        <f t="shared" si="18"/>
        <v>76</v>
      </c>
    </row>
    <row r="75" spans="1:73" x14ac:dyDescent="0.25">
      <c r="A75" t="str">
        <f ca="1"/>
        <v>UWTSD Sim Racing Team</v>
      </c>
      <c r="B75" t="str">
        <f ca="1"/>
        <v>UWTSD</v>
      </c>
      <c r="C75">
        <f ca="1"/>
        <v>56</v>
      </c>
      <c r="D75">
        <f ca="1"/>
        <v>0</v>
      </c>
      <c r="E75">
        <f ca="1"/>
        <v>31</v>
      </c>
      <c r="F75">
        <f ca="1"/>
        <v>0</v>
      </c>
      <c r="G75">
        <f ca="1"/>
        <v>0</v>
      </c>
      <c r="H75">
        <f ca="1"/>
        <v>0</v>
      </c>
      <c r="I75">
        <f ca="1"/>
        <v>0</v>
      </c>
      <c r="J75">
        <f ca="1"/>
        <v>0</v>
      </c>
      <c r="K75">
        <f ca="1"/>
        <v>0</v>
      </c>
      <c r="L75">
        <f ca="1"/>
        <v>0</v>
      </c>
      <c r="M75">
        <f ca="1"/>
        <v>0</v>
      </c>
      <c r="N75">
        <f ca="1"/>
        <v>0</v>
      </c>
      <c r="O75">
        <f ca="1"/>
        <v>0</v>
      </c>
      <c r="P75">
        <f ca="1"/>
        <v>0</v>
      </c>
      <c r="Q75">
        <f ca="1"/>
        <v>87</v>
      </c>
      <c r="R75">
        <f ca="1"/>
        <v>0</v>
      </c>
      <c r="S75">
        <f ca="1"/>
        <v>87</v>
      </c>
      <c r="T75" t="str">
        <f t="shared" ca="1" si="19"/>
        <v>UWTSD</v>
      </c>
      <c r="AK75" t="s">
        <v>267</v>
      </c>
      <c r="AL75" t="s">
        <v>99</v>
      </c>
      <c r="AM75" s="23">
        <f t="shared" ca="1" si="2"/>
        <v>19</v>
      </c>
      <c r="AN75" s="23"/>
      <c r="AO75" s="23">
        <f t="shared" ca="1" si="3"/>
        <v>6</v>
      </c>
      <c r="AP75" s="23"/>
      <c r="AQ75" s="23">
        <f t="shared" ca="1" si="4"/>
        <v>0</v>
      </c>
      <c r="AR75" s="23"/>
      <c r="AS75" s="23">
        <f t="shared" ca="1" si="5"/>
        <v>0</v>
      </c>
      <c r="AT75" s="23"/>
      <c r="AU75" s="23">
        <f t="shared" ca="1" si="6"/>
        <v>0</v>
      </c>
      <c r="AV75" s="23"/>
      <c r="AW75" s="23">
        <f t="shared" ca="1" si="7"/>
        <v>0</v>
      </c>
      <c r="AX75" s="23"/>
      <c r="AY75" s="23">
        <f t="shared" ca="1" si="8"/>
        <v>0</v>
      </c>
      <c r="AZ75" s="23"/>
      <c r="BA75">
        <f t="shared" ca="1" si="9"/>
        <v>25</v>
      </c>
      <c r="BC75">
        <f t="shared" ca="1" si="10"/>
        <v>25</v>
      </c>
      <c r="BE75" t="s">
        <v>267</v>
      </c>
      <c r="BF75" t="s">
        <v>99</v>
      </c>
      <c r="BG75" s="23">
        <f t="shared" si="11"/>
        <v>0</v>
      </c>
      <c r="BH75" s="23"/>
      <c r="BI75" s="23">
        <f t="shared" si="12"/>
        <v>0</v>
      </c>
      <c r="BJ75" s="23"/>
      <c r="BK75" s="23">
        <f t="shared" si="13"/>
        <v>0</v>
      </c>
      <c r="BL75" s="23"/>
      <c r="BM75" s="23">
        <f t="shared" si="14"/>
        <v>0</v>
      </c>
      <c r="BN75" s="23"/>
      <c r="BO75" s="23">
        <f t="shared" si="15"/>
        <v>0</v>
      </c>
      <c r="BP75" s="23"/>
      <c r="BQ75">
        <f t="shared" si="16"/>
        <v>0</v>
      </c>
      <c r="BS75" s="23">
        <f t="shared" si="17"/>
        <v>0</v>
      </c>
      <c r="BT75" s="23"/>
      <c r="BU75">
        <f t="shared" si="18"/>
        <v>0</v>
      </c>
    </row>
    <row r="76" spans="1:73" x14ac:dyDescent="0.25">
      <c r="A76" t="str">
        <f ca="1"/>
        <v>Staffordshire Uni Racing</v>
      </c>
      <c r="B76" t="str">
        <f ca="1"/>
        <v>STAF</v>
      </c>
      <c r="C76">
        <f ca="1"/>
        <v>22</v>
      </c>
      <c r="D76">
        <f ca="1"/>
        <v>0</v>
      </c>
      <c r="E76">
        <f ca="1"/>
        <v>44</v>
      </c>
      <c r="F76">
        <f ca="1"/>
        <v>0</v>
      </c>
      <c r="G76">
        <f ca="1"/>
        <v>0</v>
      </c>
      <c r="H76">
        <f ca="1"/>
        <v>0</v>
      </c>
      <c r="I76">
        <f ca="1"/>
        <v>0</v>
      </c>
      <c r="J76">
        <f ca="1"/>
        <v>0</v>
      </c>
      <c r="K76">
        <f ca="1"/>
        <v>0</v>
      </c>
      <c r="L76">
        <f ca="1"/>
        <v>0</v>
      </c>
      <c r="M76">
        <f ca="1"/>
        <v>0</v>
      </c>
      <c r="N76">
        <f ca="1"/>
        <v>0</v>
      </c>
      <c r="O76">
        <f ca="1"/>
        <v>0</v>
      </c>
      <c r="P76">
        <f ca="1"/>
        <v>0</v>
      </c>
      <c r="Q76">
        <f ca="1"/>
        <v>86</v>
      </c>
      <c r="R76">
        <f ca="1"/>
        <v>0</v>
      </c>
      <c r="S76">
        <f ca="1"/>
        <v>86</v>
      </c>
      <c r="T76" t="str">
        <f t="shared" ca="1" si="19"/>
        <v>STAF</v>
      </c>
      <c r="AK76" t="s">
        <v>268</v>
      </c>
      <c r="AL76" t="s">
        <v>102</v>
      </c>
      <c r="AM76" s="23">
        <f t="shared" ca="1" si="2"/>
        <v>36</v>
      </c>
      <c r="AN76" s="23"/>
      <c r="AO76" s="23">
        <f t="shared" ca="1" si="3"/>
        <v>21</v>
      </c>
      <c r="AP76" s="23"/>
      <c r="AQ76" s="23">
        <f t="shared" ca="1" si="4"/>
        <v>0</v>
      </c>
      <c r="AR76" s="23"/>
      <c r="AS76" s="23">
        <f t="shared" ca="1" si="5"/>
        <v>0</v>
      </c>
      <c r="AT76" s="23"/>
      <c r="AU76" s="23">
        <f t="shared" ca="1" si="6"/>
        <v>0</v>
      </c>
      <c r="AV76" s="23"/>
      <c r="AW76" s="23">
        <f t="shared" ca="1" si="7"/>
        <v>0</v>
      </c>
      <c r="AX76" s="23"/>
      <c r="AY76" s="23">
        <f t="shared" ca="1" si="8"/>
        <v>0</v>
      </c>
      <c r="AZ76" s="23"/>
      <c r="BA76">
        <f t="shared" ca="1" si="9"/>
        <v>83</v>
      </c>
      <c r="BC76">
        <f t="shared" ca="1" si="10"/>
        <v>83</v>
      </c>
      <c r="BE76" t="s">
        <v>268</v>
      </c>
      <c r="BF76" t="s">
        <v>102</v>
      </c>
      <c r="BG76" s="23">
        <f t="shared" si="11"/>
        <v>26</v>
      </c>
      <c r="BH76" s="23"/>
      <c r="BI76" s="23">
        <f t="shared" si="12"/>
        <v>0</v>
      </c>
      <c r="BJ76" s="23"/>
      <c r="BK76" s="23">
        <f t="shared" si="13"/>
        <v>0</v>
      </c>
      <c r="BL76" s="23"/>
      <c r="BM76" s="23">
        <f t="shared" si="14"/>
        <v>0</v>
      </c>
      <c r="BN76" s="23"/>
      <c r="BO76" s="23">
        <f t="shared" si="15"/>
        <v>0</v>
      </c>
      <c r="BP76" s="23"/>
      <c r="BQ76">
        <f t="shared" si="16"/>
        <v>26</v>
      </c>
      <c r="BS76" s="23">
        <f t="shared" si="17"/>
        <v>0</v>
      </c>
      <c r="BT76" s="23"/>
      <c r="BU76">
        <f t="shared" si="18"/>
        <v>52</v>
      </c>
    </row>
    <row r="77" spans="1:73" x14ac:dyDescent="0.25">
      <c r="A77" t="str">
        <f ca="1"/>
        <v>Jorvik Racing</v>
      </c>
      <c r="B77" t="str">
        <f ca="1"/>
        <v>YORKA</v>
      </c>
      <c r="C77">
        <f ca="1"/>
        <v>36</v>
      </c>
      <c r="D77">
        <f ca="1"/>
        <v>0</v>
      </c>
      <c r="E77">
        <f ca="1"/>
        <v>21</v>
      </c>
      <c r="F77">
        <f ca="1"/>
        <v>0</v>
      </c>
      <c r="G77">
        <f ca="1"/>
        <v>0</v>
      </c>
      <c r="H77">
        <f ca="1"/>
        <v>0</v>
      </c>
      <c r="I77">
        <f ca="1"/>
        <v>0</v>
      </c>
      <c r="J77">
        <f ca="1"/>
        <v>0</v>
      </c>
      <c r="K77">
        <f ca="1"/>
        <v>0</v>
      </c>
      <c r="L77">
        <f ca="1"/>
        <v>0</v>
      </c>
      <c r="M77">
        <f ca="1"/>
        <v>0</v>
      </c>
      <c r="N77">
        <f ca="1"/>
        <v>0</v>
      </c>
      <c r="O77">
        <f ca="1"/>
        <v>0</v>
      </c>
      <c r="P77">
        <f ca="1"/>
        <v>0</v>
      </c>
      <c r="Q77">
        <f ca="1"/>
        <v>83</v>
      </c>
      <c r="R77">
        <f ca="1"/>
        <v>0</v>
      </c>
      <c r="S77">
        <f ca="1"/>
        <v>83</v>
      </c>
      <c r="T77" t="str">
        <f t="shared" ca="1" si="19"/>
        <v>YORKA</v>
      </c>
      <c r="AK77" t="s">
        <v>269</v>
      </c>
      <c r="AL77" t="s">
        <v>109</v>
      </c>
      <c r="AM77" s="23">
        <f t="shared" ca="1" si="2"/>
        <v>10</v>
      </c>
      <c r="AN77" s="23"/>
      <c r="AO77" s="23">
        <f t="shared" ca="1" si="3"/>
        <v>4</v>
      </c>
      <c r="AP77" s="23"/>
      <c r="AQ77" s="23">
        <f t="shared" ca="1" si="4"/>
        <v>0</v>
      </c>
      <c r="AR77" s="23"/>
      <c r="AS77" s="23">
        <f t="shared" ca="1" si="5"/>
        <v>0</v>
      </c>
      <c r="AT77" s="23"/>
      <c r="AU77" s="23">
        <f t="shared" ca="1" si="6"/>
        <v>0</v>
      </c>
      <c r="AV77" s="23"/>
      <c r="AW77" s="23">
        <f t="shared" ca="1" si="7"/>
        <v>0</v>
      </c>
      <c r="AX77" s="23"/>
      <c r="AY77" s="23">
        <f t="shared" ca="1" si="8"/>
        <v>0</v>
      </c>
      <c r="AZ77" s="23"/>
      <c r="BA77">
        <f t="shared" ca="1" si="9"/>
        <v>34</v>
      </c>
      <c r="BC77">
        <f t="shared" ca="1" si="10"/>
        <v>34</v>
      </c>
      <c r="BE77" t="s">
        <v>269</v>
      </c>
      <c r="BF77" t="s">
        <v>109</v>
      </c>
      <c r="BG77" s="23">
        <f t="shared" si="11"/>
        <v>20</v>
      </c>
      <c r="BH77" s="23"/>
      <c r="BI77" s="23">
        <f t="shared" si="12"/>
        <v>0</v>
      </c>
      <c r="BJ77" s="23"/>
      <c r="BK77" s="23">
        <f t="shared" si="13"/>
        <v>0</v>
      </c>
      <c r="BL77" s="23"/>
      <c r="BM77" s="23">
        <f t="shared" si="14"/>
        <v>0</v>
      </c>
      <c r="BN77" s="23"/>
      <c r="BO77" s="23">
        <f t="shared" si="15"/>
        <v>0</v>
      </c>
      <c r="BP77" s="23"/>
      <c r="BQ77">
        <f t="shared" si="16"/>
        <v>20</v>
      </c>
      <c r="BS77" s="23">
        <f t="shared" si="17"/>
        <v>0</v>
      </c>
      <c r="BT77" s="23"/>
      <c r="BU77">
        <f t="shared" si="18"/>
        <v>40</v>
      </c>
    </row>
    <row r="78" spans="1:73" x14ac:dyDescent="0.25">
      <c r="A78" t="str">
        <f ca="1"/>
        <v>UB Racing</v>
      </c>
      <c r="B78" t="str">
        <f ca="1"/>
        <v>UBR</v>
      </c>
      <c r="C78">
        <f ca="1"/>
        <v>14</v>
      </c>
      <c r="D78">
        <f ca="1"/>
        <v>0</v>
      </c>
      <c r="E78">
        <f ca="1"/>
        <v>32</v>
      </c>
      <c r="F78">
        <f ca="1"/>
        <v>0</v>
      </c>
      <c r="G78">
        <f ca="1"/>
        <v>0</v>
      </c>
      <c r="H78">
        <f ca="1"/>
        <v>0</v>
      </c>
      <c r="I78">
        <f ca="1"/>
        <v>0</v>
      </c>
      <c r="J78">
        <f ca="1"/>
        <v>0</v>
      </c>
      <c r="K78">
        <f ca="1"/>
        <v>0</v>
      </c>
      <c r="L78">
        <f ca="1"/>
        <v>0</v>
      </c>
      <c r="M78">
        <f ca="1"/>
        <v>0</v>
      </c>
      <c r="N78">
        <f ca="1"/>
        <v>0</v>
      </c>
      <c r="O78">
        <f ca="1"/>
        <v>0</v>
      </c>
      <c r="P78">
        <f ca="1"/>
        <v>0</v>
      </c>
      <c r="Q78">
        <f ca="1"/>
        <v>80</v>
      </c>
      <c r="R78">
        <f ca="1"/>
        <v>0</v>
      </c>
      <c r="S78">
        <f ca="1"/>
        <v>80</v>
      </c>
      <c r="T78" t="str">
        <f t="shared" ca="1" si="19"/>
        <v>UBR</v>
      </c>
      <c r="AK78" t="s">
        <v>270</v>
      </c>
      <c r="AL78" t="s">
        <v>115</v>
      </c>
      <c r="AM78" s="23">
        <f t="shared" ca="1" si="2"/>
        <v>22</v>
      </c>
      <c r="AN78" s="23"/>
      <c r="AO78" s="23">
        <f t="shared" ca="1" si="3"/>
        <v>44</v>
      </c>
      <c r="AP78" s="23"/>
      <c r="AQ78" s="23">
        <f t="shared" ca="1" si="4"/>
        <v>0</v>
      </c>
      <c r="AR78" s="23"/>
      <c r="AS78" s="23">
        <f t="shared" ca="1" si="5"/>
        <v>0</v>
      </c>
      <c r="AT78" s="23"/>
      <c r="AU78" s="23">
        <f t="shared" ca="1" si="6"/>
        <v>0</v>
      </c>
      <c r="AV78" s="23"/>
      <c r="AW78" s="23">
        <f t="shared" ca="1" si="7"/>
        <v>0</v>
      </c>
      <c r="AX78" s="23"/>
      <c r="AY78" s="23">
        <f t="shared" ca="1" si="8"/>
        <v>0</v>
      </c>
      <c r="AZ78" s="23"/>
      <c r="BA78">
        <f t="shared" ca="1" si="9"/>
        <v>86</v>
      </c>
      <c r="BC78">
        <f t="shared" ca="1" si="10"/>
        <v>86</v>
      </c>
      <c r="BE78" t="s">
        <v>270</v>
      </c>
      <c r="BF78" t="s">
        <v>115</v>
      </c>
      <c r="BG78" s="23">
        <f t="shared" si="11"/>
        <v>20</v>
      </c>
      <c r="BH78" s="23"/>
      <c r="BI78" s="23">
        <f t="shared" si="12"/>
        <v>0</v>
      </c>
      <c r="BJ78" s="23"/>
      <c r="BK78" s="23">
        <f t="shared" si="13"/>
        <v>0</v>
      </c>
      <c r="BL78" s="23"/>
      <c r="BM78" s="23">
        <f t="shared" si="14"/>
        <v>0</v>
      </c>
      <c r="BN78" s="23"/>
      <c r="BO78" s="23">
        <f t="shared" si="15"/>
        <v>0</v>
      </c>
      <c r="BP78" s="23"/>
      <c r="BQ78">
        <f t="shared" si="16"/>
        <v>20</v>
      </c>
      <c r="BS78" s="23">
        <f t="shared" si="17"/>
        <v>0</v>
      </c>
      <c r="BT78" s="23"/>
      <c r="BU78">
        <f t="shared" si="18"/>
        <v>40</v>
      </c>
    </row>
    <row r="79" spans="1:73" x14ac:dyDescent="0.25">
      <c r="A79" t="str">
        <f ca="1"/>
        <v>HERT B</v>
      </c>
      <c r="B79" t="str">
        <f ca="1"/>
        <v>HULLB</v>
      </c>
      <c r="C79">
        <f ca="1"/>
        <v>64</v>
      </c>
      <c r="D79">
        <f ca="1"/>
        <v>0</v>
      </c>
      <c r="E79">
        <f ca="1"/>
        <v>15</v>
      </c>
      <c r="F79">
        <f ca="1"/>
        <v>0</v>
      </c>
      <c r="G79">
        <f ca="1"/>
        <v>0</v>
      </c>
      <c r="H79">
        <f ca="1"/>
        <v>0</v>
      </c>
      <c r="I79">
        <f ca="1"/>
        <v>0</v>
      </c>
      <c r="J79">
        <f ca="1"/>
        <v>0</v>
      </c>
      <c r="K79">
        <f ca="1"/>
        <v>0</v>
      </c>
      <c r="L79">
        <f ca="1"/>
        <v>0</v>
      </c>
      <c r="M79">
        <f ca="1"/>
        <v>0</v>
      </c>
      <c r="N79">
        <f ca="1"/>
        <v>0</v>
      </c>
      <c r="O79">
        <f ca="1"/>
        <v>0</v>
      </c>
      <c r="P79">
        <f ca="1"/>
        <v>0</v>
      </c>
      <c r="Q79">
        <f ca="1"/>
        <v>79</v>
      </c>
      <c r="R79">
        <f ca="1"/>
        <v>0</v>
      </c>
      <c r="S79">
        <f ca="1"/>
        <v>79</v>
      </c>
      <c r="T79" t="str">
        <f t="shared" ca="1" si="19"/>
        <v>HULLB</v>
      </c>
      <c r="AK79" t="s">
        <v>118</v>
      </c>
      <c r="AL79" t="s">
        <v>119</v>
      </c>
      <c r="AM79" s="23">
        <f t="shared" ca="1" si="2"/>
        <v>16</v>
      </c>
      <c r="AN79" s="23"/>
      <c r="AO79" s="23">
        <f t="shared" ca="1" si="3"/>
        <v>7</v>
      </c>
      <c r="AP79" s="23"/>
      <c r="AQ79" s="23">
        <f t="shared" ca="1" si="4"/>
        <v>0</v>
      </c>
      <c r="AR79" s="23"/>
      <c r="AS79" s="23">
        <f t="shared" ca="1" si="5"/>
        <v>0</v>
      </c>
      <c r="AT79" s="23"/>
      <c r="AU79" s="23">
        <f t="shared" ca="1" si="6"/>
        <v>0</v>
      </c>
      <c r="AV79" s="23"/>
      <c r="AW79" s="23">
        <f t="shared" ca="1" si="7"/>
        <v>0</v>
      </c>
      <c r="AX79" s="23"/>
      <c r="AY79" s="23">
        <f t="shared" ca="1" si="8"/>
        <v>0</v>
      </c>
      <c r="AZ79" s="23"/>
      <c r="BA79">
        <f t="shared" ca="1" si="9"/>
        <v>23</v>
      </c>
      <c r="BC79">
        <f t="shared" ca="1" si="10"/>
        <v>23</v>
      </c>
      <c r="BE79" t="s">
        <v>118</v>
      </c>
      <c r="BF79" t="s">
        <v>119</v>
      </c>
      <c r="BG79" s="23">
        <f t="shared" si="11"/>
        <v>0</v>
      </c>
      <c r="BH79" s="23"/>
      <c r="BI79" s="23">
        <f t="shared" si="12"/>
        <v>0</v>
      </c>
      <c r="BJ79" s="23"/>
      <c r="BK79" s="23">
        <f t="shared" si="13"/>
        <v>0</v>
      </c>
      <c r="BL79" s="23"/>
      <c r="BM79" s="23">
        <f t="shared" si="14"/>
        <v>0</v>
      </c>
      <c r="BN79" s="23"/>
      <c r="BO79" s="23">
        <f t="shared" si="15"/>
        <v>0</v>
      </c>
      <c r="BP79" s="23"/>
      <c r="BQ79">
        <f t="shared" si="16"/>
        <v>0</v>
      </c>
      <c r="BS79" s="23">
        <f t="shared" si="17"/>
        <v>0</v>
      </c>
      <c r="BT79" s="23"/>
      <c r="BU79">
        <f t="shared" si="18"/>
        <v>0</v>
      </c>
    </row>
    <row r="80" spans="1:73" x14ac:dyDescent="0.25">
      <c r="A80" t="str">
        <f ca="1"/>
        <v>USM</v>
      </c>
      <c r="B80" t="str">
        <f ca="1"/>
        <v>USM</v>
      </c>
      <c r="C80">
        <f ca="1"/>
        <v>42</v>
      </c>
      <c r="D80">
        <f ca="1"/>
        <v>0</v>
      </c>
      <c r="E80">
        <f ca="1"/>
        <v>0</v>
      </c>
      <c r="F80">
        <f ca="1"/>
        <v>0</v>
      </c>
      <c r="G80">
        <f ca="1"/>
        <v>0</v>
      </c>
      <c r="H80">
        <f ca="1"/>
        <v>0</v>
      </c>
      <c r="I80">
        <f ca="1"/>
        <v>0</v>
      </c>
      <c r="J80">
        <f ca="1"/>
        <v>0</v>
      </c>
      <c r="K80">
        <f ca="1"/>
        <v>0</v>
      </c>
      <c r="L80">
        <f ca="1"/>
        <v>0</v>
      </c>
      <c r="M80">
        <f ca="1"/>
        <v>0</v>
      </c>
      <c r="N80">
        <f ca="1"/>
        <v>0</v>
      </c>
      <c r="O80">
        <f ca="1"/>
        <v>0</v>
      </c>
      <c r="P80">
        <f ca="1"/>
        <v>0</v>
      </c>
      <c r="Q80">
        <f ca="1"/>
        <v>78</v>
      </c>
      <c r="R80">
        <f ca="1"/>
        <v>0</v>
      </c>
      <c r="S80">
        <f ca="1"/>
        <v>78</v>
      </c>
      <c r="T80" t="str">
        <f t="shared" ca="1" si="19"/>
        <v>USM</v>
      </c>
      <c r="AK80" t="s">
        <v>271</v>
      </c>
      <c r="AL80" t="s">
        <v>122</v>
      </c>
      <c r="AM80" s="23">
        <f t="shared" ca="1" si="2"/>
        <v>64</v>
      </c>
      <c r="AN80" s="23"/>
      <c r="AO80" s="23">
        <f t="shared" ca="1" si="3"/>
        <v>15</v>
      </c>
      <c r="AP80" s="23"/>
      <c r="AQ80" s="23">
        <f t="shared" ca="1" si="4"/>
        <v>0</v>
      </c>
      <c r="AR80" s="23"/>
      <c r="AS80" s="23">
        <f t="shared" ca="1" si="5"/>
        <v>0</v>
      </c>
      <c r="AT80" s="23"/>
      <c r="AU80" s="23">
        <f t="shared" ca="1" si="6"/>
        <v>0</v>
      </c>
      <c r="AV80" s="23"/>
      <c r="AW80" s="23">
        <f t="shared" ca="1" si="7"/>
        <v>0</v>
      </c>
      <c r="AX80" s="23"/>
      <c r="AY80" s="23">
        <f t="shared" ca="1" si="8"/>
        <v>0</v>
      </c>
      <c r="AZ80" s="23"/>
      <c r="BA80">
        <f t="shared" ca="1" si="9"/>
        <v>79</v>
      </c>
      <c r="BC80">
        <f t="shared" ca="1" si="10"/>
        <v>79</v>
      </c>
      <c r="BE80" t="s">
        <v>271</v>
      </c>
      <c r="BF80" t="s">
        <v>122</v>
      </c>
      <c r="BG80" s="23">
        <f t="shared" si="11"/>
        <v>0</v>
      </c>
      <c r="BH80" s="23"/>
      <c r="BI80" s="23">
        <f t="shared" si="12"/>
        <v>0</v>
      </c>
      <c r="BJ80" s="23"/>
      <c r="BK80" s="23">
        <f t="shared" si="13"/>
        <v>0</v>
      </c>
      <c r="BL80" s="23"/>
      <c r="BM80" s="23">
        <f t="shared" si="14"/>
        <v>0</v>
      </c>
      <c r="BN80" s="23"/>
      <c r="BO80" s="23">
        <f t="shared" si="15"/>
        <v>0</v>
      </c>
      <c r="BP80" s="23"/>
      <c r="BQ80">
        <f t="shared" si="16"/>
        <v>0</v>
      </c>
      <c r="BS80" s="23">
        <f t="shared" si="17"/>
        <v>0</v>
      </c>
      <c r="BT80" s="23"/>
      <c r="BU80">
        <f t="shared" si="18"/>
        <v>0</v>
      </c>
    </row>
    <row r="81" spans="1:73" x14ac:dyDescent="0.25">
      <c r="A81" t="str">
        <f ca="1"/>
        <v>UPRacing Electric</v>
      </c>
      <c r="B81" t="str">
        <f ca="1"/>
        <v>UPRE</v>
      </c>
      <c r="C81">
        <f ca="1"/>
        <v>40</v>
      </c>
      <c r="D81">
        <f ca="1"/>
        <v>0</v>
      </c>
      <c r="E81">
        <f ca="1"/>
        <v>37</v>
      </c>
      <c r="F81">
        <f ca="1"/>
        <v>0</v>
      </c>
      <c r="G81">
        <f ca="1"/>
        <v>0</v>
      </c>
      <c r="H81">
        <f ca="1"/>
        <v>0</v>
      </c>
      <c r="I81">
        <f ca="1"/>
        <v>0</v>
      </c>
      <c r="J81">
        <f ca="1"/>
        <v>0</v>
      </c>
      <c r="K81">
        <f ca="1"/>
        <v>0</v>
      </c>
      <c r="L81">
        <f ca="1"/>
        <v>0</v>
      </c>
      <c r="M81">
        <f ca="1"/>
        <v>0</v>
      </c>
      <c r="N81">
        <f ca="1"/>
        <v>0</v>
      </c>
      <c r="O81">
        <f ca="1"/>
        <v>0</v>
      </c>
      <c r="P81">
        <f ca="1"/>
        <v>0</v>
      </c>
      <c r="Q81">
        <f ca="1"/>
        <v>77</v>
      </c>
      <c r="R81">
        <f ca="1"/>
        <v>0</v>
      </c>
      <c r="S81">
        <f ca="1"/>
        <v>77</v>
      </c>
      <c r="T81" t="str">
        <f t="shared" ca="1" si="19"/>
        <v>UPRE</v>
      </c>
      <c r="AK81" t="s">
        <v>272</v>
      </c>
      <c r="AL81" t="s">
        <v>128</v>
      </c>
      <c r="AM81" s="23">
        <f t="shared" ca="1" si="2"/>
        <v>40</v>
      </c>
      <c r="AN81" s="23"/>
      <c r="AO81" s="23">
        <f t="shared" ca="1" si="3"/>
        <v>37</v>
      </c>
      <c r="AP81" s="23"/>
      <c r="AQ81" s="23">
        <f t="shared" ca="1" si="4"/>
        <v>0</v>
      </c>
      <c r="AR81" s="23"/>
      <c r="AS81" s="23">
        <f t="shared" ca="1" si="5"/>
        <v>0</v>
      </c>
      <c r="AT81" s="23"/>
      <c r="AU81" s="23">
        <f t="shared" ca="1" si="6"/>
        <v>0</v>
      </c>
      <c r="AV81" s="23"/>
      <c r="AW81" s="23">
        <f t="shared" ca="1" si="7"/>
        <v>0</v>
      </c>
      <c r="AX81" s="23"/>
      <c r="AY81" s="23">
        <f t="shared" ca="1" si="8"/>
        <v>0</v>
      </c>
      <c r="AZ81" s="23"/>
      <c r="BA81">
        <f t="shared" ca="1" si="9"/>
        <v>77</v>
      </c>
      <c r="BC81">
        <f t="shared" ca="1" si="10"/>
        <v>77</v>
      </c>
      <c r="BE81" t="s">
        <v>272</v>
      </c>
      <c r="BF81" t="s">
        <v>128</v>
      </c>
      <c r="BG81" s="23">
        <f t="shared" si="11"/>
        <v>0</v>
      </c>
      <c r="BH81" s="23"/>
      <c r="BI81" s="23">
        <f t="shared" si="12"/>
        <v>0</v>
      </c>
      <c r="BJ81" s="23"/>
      <c r="BK81" s="23">
        <f t="shared" si="13"/>
        <v>0</v>
      </c>
      <c r="BL81" s="23"/>
      <c r="BM81" s="23">
        <f t="shared" si="14"/>
        <v>0</v>
      </c>
      <c r="BN81" s="23"/>
      <c r="BO81" s="23">
        <f t="shared" si="15"/>
        <v>0</v>
      </c>
      <c r="BP81" s="23"/>
      <c r="BQ81">
        <f t="shared" si="16"/>
        <v>0</v>
      </c>
      <c r="BS81" s="23">
        <f t="shared" si="17"/>
        <v>0</v>
      </c>
      <c r="BT81" s="23"/>
      <c r="BU81">
        <f t="shared" si="18"/>
        <v>0</v>
      </c>
    </row>
    <row r="82" spans="1:73" x14ac:dyDescent="0.25">
      <c r="A82" t="str">
        <f ca="1"/>
        <v>UH Racing</v>
      </c>
      <c r="B82" t="str">
        <f ca="1"/>
        <v>HERTS</v>
      </c>
      <c r="C82">
        <f ca="1"/>
        <v>47</v>
      </c>
      <c r="D82">
        <f ca="1"/>
        <v>0</v>
      </c>
      <c r="E82">
        <f ca="1"/>
        <v>17</v>
      </c>
      <c r="F82">
        <f ca="1"/>
        <v>0</v>
      </c>
      <c r="G82">
        <f ca="1"/>
        <v>0</v>
      </c>
      <c r="H82">
        <f ca="1"/>
        <v>0</v>
      </c>
      <c r="I82">
        <f ca="1"/>
        <v>0</v>
      </c>
      <c r="J82">
        <f ca="1"/>
        <v>0</v>
      </c>
      <c r="K82">
        <f ca="1"/>
        <v>0</v>
      </c>
      <c r="L82">
        <f ca="1"/>
        <v>0</v>
      </c>
      <c r="M82">
        <f ca="1"/>
        <v>0</v>
      </c>
      <c r="N82">
        <f ca="1"/>
        <v>0</v>
      </c>
      <c r="O82">
        <f ca="1"/>
        <v>0</v>
      </c>
      <c r="P82">
        <f ca="1"/>
        <v>0</v>
      </c>
      <c r="Q82">
        <f ca="1"/>
        <v>64</v>
      </c>
      <c r="R82">
        <f ca="1"/>
        <v>0</v>
      </c>
      <c r="S82">
        <f ca="1"/>
        <v>64</v>
      </c>
      <c r="T82" t="str">
        <f t="shared" ca="1" si="19"/>
        <v>HERTS</v>
      </c>
      <c r="AK82" t="s">
        <v>273</v>
      </c>
      <c r="AL82" t="s">
        <v>129</v>
      </c>
      <c r="AM82" s="23">
        <f t="shared" ca="1" si="2"/>
        <v>0</v>
      </c>
      <c r="AN82" s="23"/>
      <c r="AO82" s="23">
        <f t="shared" ca="1" si="3"/>
        <v>0</v>
      </c>
      <c r="AP82" s="23"/>
      <c r="AQ82" s="23">
        <f t="shared" ca="1" si="4"/>
        <v>0</v>
      </c>
      <c r="AR82" s="23"/>
      <c r="AS82" s="23">
        <f t="shared" ca="1" si="5"/>
        <v>0</v>
      </c>
      <c r="AT82" s="23"/>
      <c r="AU82" s="23">
        <f t="shared" ca="1" si="6"/>
        <v>0</v>
      </c>
      <c r="AV82" s="23"/>
      <c r="AW82" s="23">
        <f t="shared" ca="1" si="7"/>
        <v>0</v>
      </c>
      <c r="AX82" s="23"/>
      <c r="AY82" s="23">
        <f t="shared" ca="1" si="8"/>
        <v>0</v>
      </c>
      <c r="AZ82" s="23"/>
      <c r="BA82">
        <f t="shared" ca="1" si="9"/>
        <v>0</v>
      </c>
      <c r="BC82">
        <f t="shared" ca="1" si="10"/>
        <v>0</v>
      </c>
      <c r="BE82" t="s">
        <v>273</v>
      </c>
      <c r="BF82" t="s">
        <v>129</v>
      </c>
      <c r="BG82" s="23">
        <f t="shared" si="11"/>
        <v>0</v>
      </c>
      <c r="BH82" s="23"/>
      <c r="BI82" s="23">
        <f t="shared" si="12"/>
        <v>0</v>
      </c>
      <c r="BJ82" s="23"/>
      <c r="BK82" s="23">
        <f t="shared" si="13"/>
        <v>0</v>
      </c>
      <c r="BL82" s="23"/>
      <c r="BM82" s="23">
        <f t="shared" si="14"/>
        <v>0</v>
      </c>
      <c r="BN82" s="23"/>
      <c r="BO82" s="23">
        <f t="shared" si="15"/>
        <v>0</v>
      </c>
      <c r="BP82" s="23"/>
      <c r="BQ82">
        <f t="shared" si="16"/>
        <v>0</v>
      </c>
      <c r="BS82" s="23">
        <f t="shared" si="17"/>
        <v>0</v>
      </c>
      <c r="BT82" s="23"/>
      <c r="BU82">
        <f t="shared" si="18"/>
        <v>0</v>
      </c>
    </row>
    <row r="83" spans="1:73" x14ac:dyDescent="0.25">
      <c r="A83" t="str">
        <f ca="1"/>
        <v>PolyU E-Formula Racing Team</v>
      </c>
      <c r="B83" t="str">
        <f ca="1"/>
        <v>POLYU</v>
      </c>
      <c r="C83">
        <f ca="1"/>
        <v>24</v>
      </c>
      <c r="D83">
        <f ca="1"/>
        <v>0</v>
      </c>
      <c r="E83">
        <f ca="1"/>
        <v>37</v>
      </c>
      <c r="F83">
        <f ca="1"/>
        <v>0</v>
      </c>
      <c r="G83">
        <f ca="1"/>
        <v>0</v>
      </c>
      <c r="H83">
        <f ca="1"/>
        <v>0</v>
      </c>
      <c r="I83">
        <f ca="1"/>
        <v>0</v>
      </c>
      <c r="J83">
        <f ca="1"/>
        <v>0</v>
      </c>
      <c r="K83">
        <f ca="1"/>
        <v>0</v>
      </c>
      <c r="L83">
        <f ca="1"/>
        <v>0</v>
      </c>
      <c r="M83">
        <f ca="1"/>
        <v>0</v>
      </c>
      <c r="N83">
        <f ca="1"/>
        <v>0</v>
      </c>
      <c r="O83">
        <f ca="1"/>
        <v>0</v>
      </c>
      <c r="P83">
        <f ca="1"/>
        <v>0</v>
      </c>
      <c r="Q83">
        <f ca="1"/>
        <v>61</v>
      </c>
      <c r="R83">
        <f ca="1"/>
        <v>0</v>
      </c>
      <c r="S83">
        <f ca="1"/>
        <v>61</v>
      </c>
      <c r="T83" t="str">
        <f t="shared" ca="1" si="19"/>
        <v>POLYU</v>
      </c>
      <c r="AK83" t="s">
        <v>274</v>
      </c>
      <c r="AL83" t="s">
        <v>133</v>
      </c>
      <c r="AM83" s="23">
        <f t="shared" ca="1" si="2"/>
        <v>0</v>
      </c>
      <c r="AN83" s="23"/>
      <c r="AO83" s="23">
        <f t="shared" ca="1" si="3"/>
        <v>3</v>
      </c>
      <c r="AP83" s="23"/>
      <c r="AQ83" s="23">
        <f t="shared" ca="1" si="4"/>
        <v>0</v>
      </c>
      <c r="AR83" s="23"/>
      <c r="AS83" s="23">
        <f t="shared" ca="1" si="5"/>
        <v>0</v>
      </c>
      <c r="AT83" s="23"/>
      <c r="AU83" s="23">
        <f t="shared" ca="1" si="6"/>
        <v>0</v>
      </c>
      <c r="AV83" s="23"/>
      <c r="AW83" s="23">
        <f t="shared" ca="1" si="7"/>
        <v>0</v>
      </c>
      <c r="AX83" s="23"/>
      <c r="AY83" s="23">
        <f t="shared" ca="1" si="8"/>
        <v>0</v>
      </c>
      <c r="AZ83" s="23"/>
      <c r="BA83">
        <f t="shared" ca="1" si="9"/>
        <v>3</v>
      </c>
      <c r="BC83">
        <f t="shared" ca="1" si="10"/>
        <v>3</v>
      </c>
      <c r="BE83" t="s">
        <v>274</v>
      </c>
      <c r="BF83" t="s">
        <v>133</v>
      </c>
      <c r="BG83" s="23">
        <f t="shared" si="11"/>
        <v>0</v>
      </c>
      <c r="BH83" s="23"/>
      <c r="BI83" s="23">
        <f t="shared" si="12"/>
        <v>0</v>
      </c>
      <c r="BJ83" s="23"/>
      <c r="BK83" s="23">
        <f t="shared" si="13"/>
        <v>0</v>
      </c>
      <c r="BL83" s="23"/>
      <c r="BM83" s="23">
        <f t="shared" si="14"/>
        <v>0</v>
      </c>
      <c r="BN83" s="23"/>
      <c r="BO83" s="23">
        <f t="shared" si="15"/>
        <v>0</v>
      </c>
      <c r="BP83" s="23"/>
      <c r="BQ83">
        <f t="shared" si="16"/>
        <v>0</v>
      </c>
      <c r="BS83" s="23">
        <f t="shared" si="17"/>
        <v>0</v>
      </c>
      <c r="BT83" s="23"/>
      <c r="BU83">
        <f t="shared" si="18"/>
        <v>0</v>
      </c>
    </row>
    <row r="84" spans="1:73" x14ac:dyDescent="0.25">
      <c r="A84" t="str">
        <f ca="1"/>
        <v>Team Aberdeen University (TAU)</v>
      </c>
      <c r="B84" t="str">
        <f ca="1"/>
        <v>TAU</v>
      </c>
      <c r="C84">
        <f ca="1"/>
        <v>24</v>
      </c>
      <c r="D84">
        <f ca="1"/>
        <v>0</v>
      </c>
      <c r="E84">
        <f ca="1"/>
        <v>31</v>
      </c>
      <c r="F84">
        <f ca="1"/>
        <v>0</v>
      </c>
      <c r="G84">
        <f ca="1"/>
        <v>0</v>
      </c>
      <c r="H84">
        <f ca="1"/>
        <v>0</v>
      </c>
      <c r="I84">
        <f ca="1"/>
        <v>0</v>
      </c>
      <c r="J84">
        <f ca="1"/>
        <v>0</v>
      </c>
      <c r="K84">
        <f ca="1"/>
        <v>0</v>
      </c>
      <c r="L84">
        <f ca="1"/>
        <v>0</v>
      </c>
      <c r="M84">
        <f ca="1"/>
        <v>0</v>
      </c>
      <c r="N84">
        <f ca="1"/>
        <v>0</v>
      </c>
      <c r="O84">
        <f ca="1"/>
        <v>0</v>
      </c>
      <c r="P84">
        <f ca="1"/>
        <v>0</v>
      </c>
      <c r="Q84">
        <f ca="1"/>
        <v>55</v>
      </c>
      <c r="R84">
        <f ca="1"/>
        <v>0</v>
      </c>
      <c r="S84">
        <f ca="1"/>
        <v>55</v>
      </c>
      <c r="T84" t="str">
        <f t="shared" ca="1" si="19"/>
        <v>TAU</v>
      </c>
      <c r="AK84" t="s">
        <v>275</v>
      </c>
      <c r="AL84" t="s">
        <v>136</v>
      </c>
      <c r="AM84" s="23">
        <f t="shared" ca="1" si="2"/>
        <v>47</v>
      </c>
      <c r="AN84" s="23"/>
      <c r="AO84" s="23">
        <f t="shared" ca="1" si="3"/>
        <v>17</v>
      </c>
      <c r="AP84" s="23"/>
      <c r="AQ84" s="23">
        <f t="shared" ca="1" si="4"/>
        <v>0</v>
      </c>
      <c r="AR84" s="23"/>
      <c r="AS84" s="23">
        <f t="shared" ca="1" si="5"/>
        <v>0</v>
      </c>
      <c r="AT84" s="23"/>
      <c r="AU84" s="23">
        <f t="shared" ca="1" si="6"/>
        <v>0</v>
      </c>
      <c r="AV84" s="23"/>
      <c r="AW84" s="23">
        <f t="shared" ca="1" si="7"/>
        <v>0</v>
      </c>
      <c r="AX84" s="23"/>
      <c r="AY84" s="23">
        <f t="shared" ca="1" si="8"/>
        <v>0</v>
      </c>
      <c r="AZ84" s="23"/>
      <c r="BA84">
        <f t="shared" ca="1" si="9"/>
        <v>64</v>
      </c>
      <c r="BC84">
        <f t="shared" ca="1" si="10"/>
        <v>64</v>
      </c>
      <c r="BE84" t="s">
        <v>275</v>
      </c>
      <c r="BF84" t="s">
        <v>136</v>
      </c>
      <c r="BG84" s="23">
        <f t="shared" si="11"/>
        <v>0</v>
      </c>
      <c r="BH84" s="23"/>
      <c r="BI84" s="23">
        <f t="shared" si="12"/>
        <v>0</v>
      </c>
      <c r="BJ84" s="23"/>
      <c r="BK84" s="23">
        <f t="shared" si="13"/>
        <v>0</v>
      </c>
      <c r="BL84" s="23"/>
      <c r="BM84" s="23">
        <f t="shared" si="14"/>
        <v>0</v>
      </c>
      <c r="BN84" s="23"/>
      <c r="BO84" s="23">
        <f t="shared" si="15"/>
        <v>0</v>
      </c>
      <c r="BP84" s="23"/>
      <c r="BQ84">
        <f t="shared" si="16"/>
        <v>0</v>
      </c>
      <c r="BS84" s="23">
        <f t="shared" si="17"/>
        <v>0</v>
      </c>
      <c r="BT84" s="23"/>
      <c r="BU84">
        <f t="shared" si="18"/>
        <v>0</v>
      </c>
    </row>
    <row r="85" spans="1:73" x14ac:dyDescent="0.25">
      <c r="A85" t="str">
        <f ca="1"/>
        <v>UCL Formula Student</v>
      </c>
      <c r="B85" t="str">
        <f ca="1"/>
        <v>UCL</v>
      </c>
      <c r="C85">
        <f ca="1"/>
        <v>15</v>
      </c>
      <c r="D85">
        <f ca="1"/>
        <v>0</v>
      </c>
      <c r="E85">
        <f ca="1"/>
        <v>1</v>
      </c>
      <c r="F85">
        <f ca="1"/>
        <v>0</v>
      </c>
      <c r="G85">
        <f ca="1"/>
        <v>0</v>
      </c>
      <c r="H85">
        <f ca="1"/>
        <v>0</v>
      </c>
      <c r="I85">
        <f ca="1"/>
        <v>0</v>
      </c>
      <c r="J85">
        <f ca="1"/>
        <v>0</v>
      </c>
      <c r="K85">
        <f ca="1"/>
        <v>0</v>
      </c>
      <c r="L85">
        <f ca="1"/>
        <v>0</v>
      </c>
      <c r="M85">
        <f ca="1"/>
        <v>0</v>
      </c>
      <c r="N85">
        <f ca="1"/>
        <v>0</v>
      </c>
      <c r="O85">
        <f ca="1"/>
        <v>0</v>
      </c>
      <c r="P85">
        <f ca="1"/>
        <v>0</v>
      </c>
      <c r="Q85">
        <f ca="1"/>
        <v>54</v>
      </c>
      <c r="R85">
        <f ca="1"/>
        <v>0</v>
      </c>
      <c r="S85">
        <f ca="1"/>
        <v>54</v>
      </c>
      <c r="T85" t="str">
        <f t="shared" ca="1" si="19"/>
        <v>UCL</v>
      </c>
      <c r="AK85" t="s">
        <v>276</v>
      </c>
      <c r="AL85" t="s">
        <v>142</v>
      </c>
      <c r="AM85" s="23">
        <f t="shared" ca="1" si="2"/>
        <v>0</v>
      </c>
      <c r="AN85" s="23"/>
      <c r="AO85" s="23">
        <f t="shared" ca="1" si="3"/>
        <v>45</v>
      </c>
      <c r="AP85" s="23"/>
      <c r="AQ85" s="23">
        <f t="shared" ca="1" si="4"/>
        <v>0</v>
      </c>
      <c r="AR85" s="23"/>
      <c r="AS85" s="23">
        <f t="shared" ca="1" si="5"/>
        <v>0</v>
      </c>
      <c r="AT85" s="23"/>
      <c r="AU85" s="23">
        <f t="shared" ca="1" si="6"/>
        <v>0</v>
      </c>
      <c r="AV85" s="23"/>
      <c r="AW85" s="23">
        <f t="shared" ca="1" si="7"/>
        <v>0</v>
      </c>
      <c r="AX85" s="23"/>
      <c r="AY85" s="23">
        <f t="shared" ca="1" si="8"/>
        <v>0</v>
      </c>
      <c r="AZ85" s="23"/>
      <c r="BA85">
        <f t="shared" ca="1" si="9"/>
        <v>45</v>
      </c>
      <c r="BC85">
        <f t="shared" ca="1" si="10"/>
        <v>45</v>
      </c>
      <c r="BE85" t="s">
        <v>276</v>
      </c>
      <c r="BF85" t="s">
        <v>142</v>
      </c>
      <c r="BG85" s="23">
        <f t="shared" si="11"/>
        <v>0</v>
      </c>
      <c r="BH85" s="23"/>
      <c r="BI85" s="23">
        <f t="shared" si="12"/>
        <v>0</v>
      </c>
      <c r="BJ85" s="23"/>
      <c r="BK85" s="23">
        <f t="shared" si="13"/>
        <v>0</v>
      </c>
      <c r="BL85" s="23"/>
      <c r="BM85" s="23">
        <f t="shared" si="14"/>
        <v>0</v>
      </c>
      <c r="BN85" s="23"/>
      <c r="BO85" s="23">
        <f t="shared" si="15"/>
        <v>0</v>
      </c>
      <c r="BP85" s="23"/>
      <c r="BQ85">
        <f t="shared" si="16"/>
        <v>0</v>
      </c>
      <c r="BS85" s="23">
        <f t="shared" si="17"/>
        <v>0</v>
      </c>
      <c r="BT85" s="23"/>
      <c r="BU85">
        <f t="shared" si="18"/>
        <v>0</v>
      </c>
    </row>
    <row r="86" spans="1:73" x14ac:dyDescent="0.25">
      <c r="A86" t="str">
        <f ca="1"/>
        <v>Manchester Stinger Motorsports</v>
      </c>
      <c r="B86" t="str">
        <f ca="1"/>
        <v>MAN</v>
      </c>
      <c r="C86">
        <f ca="1"/>
        <v>25</v>
      </c>
      <c r="D86">
        <f ca="1"/>
        <v>0</v>
      </c>
      <c r="E86">
        <f ca="1"/>
        <v>28</v>
      </c>
      <c r="F86">
        <f ca="1"/>
        <v>0</v>
      </c>
      <c r="G86">
        <f ca="1"/>
        <v>0</v>
      </c>
      <c r="H86">
        <f ca="1"/>
        <v>0</v>
      </c>
      <c r="I86">
        <f ca="1"/>
        <v>0</v>
      </c>
      <c r="J86">
        <f ca="1"/>
        <v>0</v>
      </c>
      <c r="K86">
        <f ca="1"/>
        <v>0</v>
      </c>
      <c r="L86">
        <f ca="1"/>
        <v>0</v>
      </c>
      <c r="M86">
        <f ca="1"/>
        <v>0</v>
      </c>
      <c r="N86">
        <f ca="1"/>
        <v>0</v>
      </c>
      <c r="O86">
        <f ca="1"/>
        <v>0</v>
      </c>
      <c r="P86">
        <f ca="1"/>
        <v>0</v>
      </c>
      <c r="Q86">
        <f ca="1"/>
        <v>53</v>
      </c>
      <c r="R86">
        <f ca="1"/>
        <v>0</v>
      </c>
      <c r="S86">
        <f ca="1"/>
        <v>53</v>
      </c>
      <c r="T86" t="str">
        <f t="shared" ca="1" si="19"/>
        <v>MAN</v>
      </c>
      <c r="AK86" t="s">
        <v>277</v>
      </c>
      <c r="AL86" t="s">
        <v>145</v>
      </c>
      <c r="AM86" s="23">
        <f t="shared" ca="1" si="2"/>
        <v>0</v>
      </c>
      <c r="AN86" s="23"/>
      <c r="AO86" s="23">
        <f t="shared" ca="1" si="3"/>
        <v>0</v>
      </c>
      <c r="AP86" s="23"/>
      <c r="AQ86" s="23">
        <f t="shared" ca="1" si="4"/>
        <v>0</v>
      </c>
      <c r="AR86" s="23"/>
      <c r="AS86" s="23">
        <f t="shared" ca="1" si="5"/>
        <v>0</v>
      </c>
      <c r="AT86" s="23"/>
      <c r="AU86" s="23">
        <f t="shared" ca="1" si="6"/>
        <v>0</v>
      </c>
      <c r="AV86" s="23"/>
      <c r="AW86" s="23">
        <f t="shared" ca="1" si="7"/>
        <v>0</v>
      </c>
      <c r="AX86" s="23"/>
      <c r="AY86" s="23">
        <f t="shared" ca="1" si="8"/>
        <v>0</v>
      </c>
      <c r="AZ86" s="23"/>
      <c r="BA86">
        <f t="shared" ca="1" si="9"/>
        <v>0</v>
      </c>
      <c r="BC86">
        <f t="shared" ca="1" si="10"/>
        <v>0</v>
      </c>
      <c r="BE86" t="s">
        <v>277</v>
      </c>
      <c r="BF86" t="s">
        <v>145</v>
      </c>
      <c r="BG86" s="23">
        <f t="shared" si="11"/>
        <v>0</v>
      </c>
      <c r="BH86" s="23"/>
      <c r="BI86" s="23">
        <f t="shared" si="12"/>
        <v>0</v>
      </c>
      <c r="BJ86" s="23"/>
      <c r="BK86" s="23">
        <f t="shared" si="13"/>
        <v>0</v>
      </c>
      <c r="BL86" s="23"/>
      <c r="BM86" s="23">
        <f t="shared" si="14"/>
        <v>0</v>
      </c>
      <c r="BN86" s="23"/>
      <c r="BO86" s="23">
        <f t="shared" si="15"/>
        <v>0</v>
      </c>
      <c r="BP86" s="23"/>
      <c r="BQ86">
        <f t="shared" si="16"/>
        <v>0</v>
      </c>
      <c r="BS86" s="23">
        <f t="shared" si="17"/>
        <v>0</v>
      </c>
      <c r="BT86" s="23"/>
      <c r="BU86">
        <f t="shared" si="18"/>
        <v>0</v>
      </c>
    </row>
    <row r="87" spans="1:73" x14ac:dyDescent="0.25">
      <c r="A87" t="str">
        <f ca="1"/>
        <v>Fuosr mofu Alala Svtau)dent Vitoria</v>
      </c>
      <c r="B87" t="str">
        <f ca="1"/>
        <v>VIT</v>
      </c>
      <c r="C87">
        <f ca="1"/>
        <v>22</v>
      </c>
      <c r="D87">
        <f ca="1"/>
        <v>0</v>
      </c>
      <c r="E87">
        <f ca="1"/>
        <v>30</v>
      </c>
      <c r="F87">
        <f ca="1"/>
        <v>0</v>
      </c>
      <c r="G87">
        <f ca="1"/>
        <v>0</v>
      </c>
      <c r="H87">
        <f ca="1"/>
        <v>0</v>
      </c>
      <c r="I87">
        <f ca="1"/>
        <v>0</v>
      </c>
      <c r="J87">
        <f ca="1"/>
        <v>0</v>
      </c>
      <c r="K87">
        <f ca="1"/>
        <v>0</v>
      </c>
      <c r="L87">
        <f ca="1"/>
        <v>0</v>
      </c>
      <c r="M87">
        <f ca="1"/>
        <v>0</v>
      </c>
      <c r="N87">
        <f ca="1"/>
        <v>0</v>
      </c>
      <c r="O87">
        <f ca="1"/>
        <v>0</v>
      </c>
      <c r="P87">
        <f ca="1"/>
        <v>0</v>
      </c>
      <c r="Q87">
        <f ca="1"/>
        <v>52</v>
      </c>
      <c r="R87">
        <f ca="1"/>
        <v>0</v>
      </c>
      <c r="S87">
        <f ca="1"/>
        <v>52</v>
      </c>
      <c r="T87" t="str">
        <f t="shared" ca="1" si="19"/>
        <v>VIT</v>
      </c>
      <c r="AK87" t="s">
        <v>278</v>
      </c>
      <c r="AL87" t="s">
        <v>152</v>
      </c>
      <c r="AM87" s="23">
        <f t="shared" ca="1" si="2"/>
        <v>0</v>
      </c>
      <c r="AN87" s="23"/>
      <c r="AO87" s="23">
        <f t="shared" ca="1" si="3"/>
        <v>0</v>
      </c>
      <c r="AP87" s="23"/>
      <c r="AQ87" s="23">
        <f t="shared" ca="1" si="4"/>
        <v>0</v>
      </c>
      <c r="AR87" s="23"/>
      <c r="AS87" s="23">
        <f t="shared" ca="1" si="5"/>
        <v>0</v>
      </c>
      <c r="AT87" s="23"/>
      <c r="AU87" s="23">
        <f t="shared" ca="1" si="6"/>
        <v>0</v>
      </c>
      <c r="AV87" s="23"/>
      <c r="AW87" s="23">
        <f t="shared" ca="1" si="7"/>
        <v>0</v>
      </c>
      <c r="AX87" s="23"/>
      <c r="AY87" s="23">
        <f t="shared" ca="1" si="8"/>
        <v>0</v>
      </c>
      <c r="AZ87" s="23"/>
      <c r="BA87">
        <f t="shared" ca="1" si="9"/>
        <v>0</v>
      </c>
      <c r="BC87">
        <f t="shared" ca="1" si="10"/>
        <v>0</v>
      </c>
      <c r="BE87" t="s">
        <v>278</v>
      </c>
      <c r="BF87" t="s">
        <v>152</v>
      </c>
      <c r="BG87" s="23">
        <f t="shared" si="11"/>
        <v>0</v>
      </c>
      <c r="BH87" s="23"/>
      <c r="BI87" s="23">
        <f t="shared" si="12"/>
        <v>0</v>
      </c>
      <c r="BJ87" s="23"/>
      <c r="BK87" s="23">
        <f t="shared" si="13"/>
        <v>0</v>
      </c>
      <c r="BL87" s="23"/>
      <c r="BM87" s="23">
        <f t="shared" si="14"/>
        <v>0</v>
      </c>
      <c r="BN87" s="23"/>
      <c r="BO87" s="23">
        <f t="shared" si="15"/>
        <v>0</v>
      </c>
      <c r="BP87" s="23"/>
      <c r="BQ87">
        <f t="shared" si="16"/>
        <v>0</v>
      </c>
      <c r="BS87" s="23">
        <f t="shared" si="17"/>
        <v>0</v>
      </c>
      <c r="BT87" s="23"/>
      <c r="BU87">
        <f t="shared" si="18"/>
        <v>0</v>
      </c>
    </row>
    <row r="88" spans="1:73" x14ac:dyDescent="0.25">
      <c r="A88" t="str">
        <f ca="1"/>
        <v>Queen's Formula Racing</v>
      </c>
      <c r="B88" t="str">
        <f ca="1"/>
        <v>QBEL</v>
      </c>
      <c r="C88">
        <f ca="1"/>
        <v>0</v>
      </c>
      <c r="D88">
        <f ca="1"/>
        <v>0</v>
      </c>
      <c r="E88">
        <f ca="1"/>
        <v>45</v>
      </c>
      <c r="F88">
        <f ca="1"/>
        <v>0</v>
      </c>
      <c r="G88">
        <f ca="1"/>
        <v>0</v>
      </c>
      <c r="H88">
        <f ca="1"/>
        <v>0</v>
      </c>
      <c r="I88">
        <f ca="1"/>
        <v>0</v>
      </c>
      <c r="J88">
        <f ca="1"/>
        <v>0</v>
      </c>
      <c r="K88">
        <f ca="1"/>
        <v>0</v>
      </c>
      <c r="L88">
        <f ca="1"/>
        <v>0</v>
      </c>
      <c r="M88">
        <f ca="1"/>
        <v>0</v>
      </c>
      <c r="N88">
        <f ca="1"/>
        <v>0</v>
      </c>
      <c r="O88">
        <f ca="1"/>
        <v>0</v>
      </c>
      <c r="P88">
        <f ca="1"/>
        <v>0</v>
      </c>
      <c r="Q88">
        <f ca="1"/>
        <v>45</v>
      </c>
      <c r="R88">
        <f ca="1"/>
        <v>0</v>
      </c>
      <c r="S88">
        <f ca="1"/>
        <v>45</v>
      </c>
      <c r="T88" t="str">
        <f t="shared" ca="1" si="19"/>
        <v>QBEL</v>
      </c>
      <c r="AK88" t="s">
        <v>279</v>
      </c>
      <c r="AL88" t="s">
        <v>156</v>
      </c>
      <c r="AM88" s="23">
        <f t="shared" ca="1" si="2"/>
        <v>14</v>
      </c>
      <c r="AN88" s="23"/>
      <c r="AO88" s="23">
        <f t="shared" ca="1" si="3"/>
        <v>32</v>
      </c>
      <c r="AP88" s="23"/>
      <c r="AQ88" s="23">
        <f t="shared" ca="1" si="4"/>
        <v>0</v>
      </c>
      <c r="AR88" s="23"/>
      <c r="AS88" s="23">
        <f t="shared" ca="1" si="5"/>
        <v>0</v>
      </c>
      <c r="AT88" s="23"/>
      <c r="AU88" s="23">
        <f t="shared" ca="1" si="6"/>
        <v>0</v>
      </c>
      <c r="AV88" s="23"/>
      <c r="AW88" s="23">
        <f t="shared" ca="1" si="7"/>
        <v>0</v>
      </c>
      <c r="AX88" s="23"/>
      <c r="AY88" s="23">
        <f t="shared" ca="1" si="8"/>
        <v>0</v>
      </c>
      <c r="AZ88" s="23"/>
      <c r="BA88">
        <f t="shared" ca="1" si="9"/>
        <v>80</v>
      </c>
      <c r="BC88">
        <f t="shared" ca="1" si="10"/>
        <v>80</v>
      </c>
      <c r="BE88" t="s">
        <v>279</v>
      </c>
      <c r="BF88" t="s">
        <v>156</v>
      </c>
      <c r="BG88" s="23">
        <f t="shared" si="11"/>
        <v>34</v>
      </c>
      <c r="BH88" s="23"/>
      <c r="BI88" s="23">
        <f t="shared" si="12"/>
        <v>0</v>
      </c>
      <c r="BJ88" s="23"/>
      <c r="BK88" s="23">
        <f t="shared" si="13"/>
        <v>0</v>
      </c>
      <c r="BL88" s="23"/>
      <c r="BM88" s="23">
        <f t="shared" si="14"/>
        <v>0</v>
      </c>
      <c r="BN88" s="23"/>
      <c r="BO88" s="23">
        <f t="shared" si="15"/>
        <v>0</v>
      </c>
      <c r="BP88" s="23"/>
      <c r="BQ88">
        <f t="shared" si="16"/>
        <v>34</v>
      </c>
      <c r="BS88" s="23">
        <f t="shared" si="17"/>
        <v>0</v>
      </c>
      <c r="BT88" s="23"/>
      <c r="BU88">
        <f t="shared" si="18"/>
        <v>68</v>
      </c>
    </row>
    <row r="89" spans="1:73" x14ac:dyDescent="0.25">
      <c r="A89" t="str">
        <f ca="1"/>
        <v>HKU Racing</v>
      </c>
      <c r="B89" t="str">
        <f ca="1"/>
        <v>HKU</v>
      </c>
      <c r="C89">
        <f ca="1"/>
        <v>42</v>
      </c>
      <c r="D89">
        <f ca="1"/>
        <v>0</v>
      </c>
      <c r="E89">
        <f ca="1"/>
        <v>0</v>
      </c>
      <c r="F89">
        <f ca="1"/>
        <v>0</v>
      </c>
      <c r="G89">
        <f ca="1"/>
        <v>0</v>
      </c>
      <c r="H89">
        <f ca="1"/>
        <v>0</v>
      </c>
      <c r="I89">
        <f ca="1"/>
        <v>0</v>
      </c>
      <c r="J89">
        <f ca="1"/>
        <v>0</v>
      </c>
      <c r="K89">
        <f ca="1"/>
        <v>0</v>
      </c>
      <c r="L89">
        <f ca="1"/>
        <v>0</v>
      </c>
      <c r="M89">
        <f ca="1"/>
        <v>0</v>
      </c>
      <c r="N89">
        <f ca="1"/>
        <v>0</v>
      </c>
      <c r="O89">
        <f ca="1"/>
        <v>0</v>
      </c>
      <c r="P89">
        <f ca="1"/>
        <v>0</v>
      </c>
      <c r="Q89">
        <f ca="1"/>
        <v>42</v>
      </c>
      <c r="R89">
        <f ca="1"/>
        <v>0</v>
      </c>
      <c r="S89">
        <f ca="1"/>
        <v>42</v>
      </c>
      <c r="T89" t="str">
        <f t="shared" ca="1" si="19"/>
        <v>HKU</v>
      </c>
      <c r="AK89" t="s">
        <v>162</v>
      </c>
      <c r="AL89" t="s">
        <v>163</v>
      </c>
      <c r="AM89" s="23">
        <f t="shared" ca="1" si="2"/>
        <v>0</v>
      </c>
      <c r="AN89" s="23"/>
      <c r="AO89" s="23">
        <f t="shared" ca="1" si="3"/>
        <v>0</v>
      </c>
      <c r="AP89" s="23"/>
      <c r="AQ89" s="23">
        <f t="shared" ca="1" si="4"/>
        <v>0</v>
      </c>
      <c r="AR89" s="23"/>
      <c r="AS89" s="23">
        <f t="shared" ca="1" si="5"/>
        <v>0</v>
      </c>
      <c r="AT89" s="23"/>
      <c r="AU89" s="23">
        <f t="shared" ca="1" si="6"/>
        <v>0</v>
      </c>
      <c r="AV89" s="23"/>
      <c r="AW89" s="23">
        <f t="shared" ca="1" si="7"/>
        <v>0</v>
      </c>
      <c r="AX89" s="23"/>
      <c r="AY89" s="23">
        <f t="shared" ca="1" si="8"/>
        <v>0</v>
      </c>
      <c r="AZ89" s="23"/>
      <c r="BA89">
        <f t="shared" ca="1" si="9"/>
        <v>0</v>
      </c>
      <c r="BC89">
        <f t="shared" ca="1" si="10"/>
        <v>0</v>
      </c>
      <c r="BE89" t="s">
        <v>162</v>
      </c>
      <c r="BF89" t="s">
        <v>163</v>
      </c>
      <c r="BG89" s="23">
        <f t="shared" si="11"/>
        <v>0</v>
      </c>
      <c r="BH89" s="23"/>
      <c r="BI89" s="23">
        <f t="shared" si="12"/>
        <v>0</v>
      </c>
      <c r="BJ89" s="23"/>
      <c r="BK89" s="23">
        <f t="shared" si="13"/>
        <v>0</v>
      </c>
      <c r="BL89" s="23"/>
      <c r="BM89" s="23">
        <f t="shared" si="14"/>
        <v>0</v>
      </c>
      <c r="BN89" s="23"/>
      <c r="BO89" s="23">
        <f t="shared" si="15"/>
        <v>0</v>
      </c>
      <c r="BP89" s="23"/>
      <c r="BQ89">
        <f t="shared" si="16"/>
        <v>0</v>
      </c>
      <c r="BS89" s="23">
        <f t="shared" si="17"/>
        <v>0</v>
      </c>
      <c r="BT89" s="23"/>
      <c r="BU89">
        <f t="shared" si="18"/>
        <v>0</v>
      </c>
    </row>
    <row r="90" spans="1:73" x14ac:dyDescent="0.25">
      <c r="A90" t="str">
        <f ca="1"/>
        <v>Proton Dynamic</v>
      </c>
      <c r="B90" t="str">
        <f ca="1"/>
        <v>PROT</v>
      </c>
      <c r="C90">
        <f ca="1"/>
        <v>38</v>
      </c>
      <c r="D90">
        <f ca="1"/>
        <v>0</v>
      </c>
      <c r="E90">
        <f ca="1"/>
        <v>0</v>
      </c>
      <c r="F90">
        <f ca="1"/>
        <v>0</v>
      </c>
      <c r="G90">
        <f ca="1"/>
        <v>0</v>
      </c>
      <c r="H90">
        <f ca="1"/>
        <v>0</v>
      </c>
      <c r="I90">
        <f ca="1"/>
        <v>0</v>
      </c>
      <c r="J90">
        <f ca="1"/>
        <v>0</v>
      </c>
      <c r="K90">
        <f ca="1"/>
        <v>0</v>
      </c>
      <c r="L90">
        <f ca="1"/>
        <v>0</v>
      </c>
      <c r="M90">
        <f ca="1"/>
        <v>0</v>
      </c>
      <c r="N90">
        <f ca="1"/>
        <v>0</v>
      </c>
      <c r="O90">
        <f ca="1"/>
        <v>0</v>
      </c>
      <c r="P90">
        <f ca="1"/>
        <v>0</v>
      </c>
      <c r="Q90">
        <f ca="1"/>
        <v>38</v>
      </c>
      <c r="R90">
        <f ca="1"/>
        <v>0</v>
      </c>
      <c r="S90">
        <f ca="1"/>
        <v>38</v>
      </c>
      <c r="T90" t="str">
        <f t="shared" ca="1" si="19"/>
        <v>PROT</v>
      </c>
      <c r="AK90" t="s">
        <v>280</v>
      </c>
      <c r="AL90" t="s">
        <v>167</v>
      </c>
      <c r="AM90" s="23">
        <f t="shared" ca="1" si="2"/>
        <v>0</v>
      </c>
      <c r="AN90" s="23"/>
      <c r="AO90" s="23">
        <f t="shared" ca="1" si="3"/>
        <v>0</v>
      </c>
      <c r="AP90" s="23"/>
      <c r="AQ90" s="23">
        <f t="shared" ca="1" si="4"/>
        <v>0</v>
      </c>
      <c r="AR90" s="23"/>
      <c r="AS90" s="23">
        <f t="shared" ca="1" si="5"/>
        <v>0</v>
      </c>
      <c r="AT90" s="23"/>
      <c r="AU90" s="23">
        <f t="shared" ca="1" si="6"/>
        <v>0</v>
      </c>
      <c r="AV90" s="23"/>
      <c r="AW90" s="23">
        <f t="shared" ca="1" si="7"/>
        <v>0</v>
      </c>
      <c r="AX90" s="23"/>
      <c r="AY90" s="23">
        <f t="shared" ca="1" si="8"/>
        <v>0</v>
      </c>
      <c r="AZ90" s="23"/>
      <c r="BA90">
        <f t="shared" ca="1" si="9"/>
        <v>0</v>
      </c>
      <c r="BC90">
        <f t="shared" ca="1" si="10"/>
        <v>0</v>
      </c>
      <c r="BE90" t="s">
        <v>280</v>
      </c>
      <c r="BF90" t="s">
        <v>167</v>
      </c>
      <c r="BG90" s="23">
        <f t="shared" si="11"/>
        <v>0</v>
      </c>
      <c r="BH90" s="23"/>
      <c r="BI90" s="23">
        <f t="shared" si="12"/>
        <v>0</v>
      </c>
      <c r="BJ90" s="23"/>
      <c r="BK90" s="23">
        <f t="shared" si="13"/>
        <v>0</v>
      </c>
      <c r="BL90" s="23"/>
      <c r="BM90" s="23">
        <f t="shared" si="14"/>
        <v>0</v>
      </c>
      <c r="BN90" s="23"/>
      <c r="BO90" s="23">
        <f t="shared" si="15"/>
        <v>0</v>
      </c>
      <c r="BP90" s="23"/>
      <c r="BQ90">
        <f t="shared" si="16"/>
        <v>0</v>
      </c>
      <c r="BS90" s="23">
        <f t="shared" si="17"/>
        <v>0</v>
      </c>
      <c r="BT90" s="23"/>
      <c r="BU90">
        <f t="shared" si="18"/>
        <v>0</v>
      </c>
    </row>
    <row r="91" spans="1:73" x14ac:dyDescent="0.25">
      <c r="A91" t="str">
        <f ca="1"/>
        <v>SHU Racing</v>
      </c>
      <c r="B91" t="str">
        <f ca="1"/>
        <v>SHU</v>
      </c>
      <c r="C91">
        <f ca="1"/>
        <v>10</v>
      </c>
      <c r="D91">
        <f ca="1"/>
        <v>0</v>
      </c>
      <c r="E91">
        <f ca="1"/>
        <v>4</v>
      </c>
      <c r="F91">
        <f ca="1"/>
        <v>0</v>
      </c>
      <c r="G91">
        <f ca="1"/>
        <v>0</v>
      </c>
      <c r="H91">
        <f ca="1"/>
        <v>0</v>
      </c>
      <c r="I91">
        <f ca="1"/>
        <v>0</v>
      </c>
      <c r="J91">
        <f ca="1"/>
        <v>0</v>
      </c>
      <c r="K91">
        <f ca="1"/>
        <v>0</v>
      </c>
      <c r="L91">
        <f ca="1"/>
        <v>0</v>
      </c>
      <c r="M91">
        <f ca="1"/>
        <v>0</v>
      </c>
      <c r="N91">
        <f ca="1"/>
        <v>0</v>
      </c>
      <c r="O91">
        <f ca="1"/>
        <v>0</v>
      </c>
      <c r="P91">
        <f ca="1"/>
        <v>0</v>
      </c>
      <c r="Q91">
        <f ca="1"/>
        <v>34</v>
      </c>
      <c r="R91">
        <f ca="1"/>
        <v>0</v>
      </c>
      <c r="S91">
        <f ca="1"/>
        <v>34</v>
      </c>
      <c r="T91" t="str">
        <f t="shared" ca="1" si="19"/>
        <v>SHU</v>
      </c>
      <c r="AK91" t="s">
        <v>281</v>
      </c>
      <c r="AL91" t="s">
        <v>170</v>
      </c>
      <c r="AM91" s="23">
        <f t="shared" ca="1" si="2"/>
        <v>7</v>
      </c>
      <c r="AN91" s="23"/>
      <c r="AO91" s="23">
        <f t="shared" ca="1" si="3"/>
        <v>2</v>
      </c>
      <c r="AP91" s="23"/>
      <c r="AQ91" s="23">
        <f t="shared" ca="1" si="4"/>
        <v>0</v>
      </c>
      <c r="AR91" s="23"/>
      <c r="AS91" s="23">
        <f t="shared" ca="1" si="5"/>
        <v>0</v>
      </c>
      <c r="AT91" s="23"/>
      <c r="AU91" s="23">
        <f t="shared" ca="1" si="6"/>
        <v>0</v>
      </c>
      <c r="AV91" s="23"/>
      <c r="AW91" s="23">
        <f t="shared" ca="1" si="7"/>
        <v>0</v>
      </c>
      <c r="AX91" s="23"/>
      <c r="AY91" s="23">
        <f t="shared" ca="1" si="8"/>
        <v>0</v>
      </c>
      <c r="AZ91" s="23"/>
      <c r="BA91">
        <f t="shared" ca="1" si="9"/>
        <v>9</v>
      </c>
      <c r="BC91">
        <f t="shared" ca="1" si="10"/>
        <v>9</v>
      </c>
      <c r="BE91" t="s">
        <v>281</v>
      </c>
      <c r="BF91" t="s">
        <v>170</v>
      </c>
      <c r="BG91" s="23">
        <f t="shared" si="11"/>
        <v>0</v>
      </c>
      <c r="BH91" s="23"/>
      <c r="BI91" s="23">
        <f t="shared" si="12"/>
        <v>0</v>
      </c>
      <c r="BJ91" s="23"/>
      <c r="BK91" s="23">
        <f t="shared" si="13"/>
        <v>0</v>
      </c>
      <c r="BL91" s="23"/>
      <c r="BM91" s="23">
        <f t="shared" si="14"/>
        <v>0</v>
      </c>
      <c r="BN91" s="23"/>
      <c r="BO91" s="23">
        <f t="shared" si="15"/>
        <v>0</v>
      </c>
      <c r="BP91" s="23"/>
      <c r="BQ91">
        <f t="shared" si="16"/>
        <v>0</v>
      </c>
      <c r="BS91" s="23">
        <f t="shared" si="17"/>
        <v>0</v>
      </c>
      <c r="BT91" s="23"/>
      <c r="BU91">
        <f t="shared" si="18"/>
        <v>0</v>
      </c>
    </row>
    <row r="92" spans="1:73" x14ac:dyDescent="0.25">
      <c r="A92" t="str">
        <f ca="1"/>
        <v>ION Racing</v>
      </c>
      <c r="B92" t="str">
        <f ca="1"/>
        <v>ION</v>
      </c>
      <c r="C92">
        <f ca="1"/>
        <v>0</v>
      </c>
      <c r="D92">
        <f ca="1"/>
        <v>0</v>
      </c>
      <c r="E92">
        <f ca="1"/>
        <v>31</v>
      </c>
      <c r="F92">
        <f ca="1"/>
        <v>0</v>
      </c>
      <c r="G92">
        <f ca="1"/>
        <v>0</v>
      </c>
      <c r="H92">
        <f ca="1"/>
        <v>0</v>
      </c>
      <c r="I92">
        <f ca="1"/>
        <v>0</v>
      </c>
      <c r="J92">
        <f ca="1"/>
        <v>0</v>
      </c>
      <c r="K92">
        <f ca="1"/>
        <v>0</v>
      </c>
      <c r="L92">
        <f ca="1"/>
        <v>0</v>
      </c>
      <c r="M92">
        <f ca="1"/>
        <v>0</v>
      </c>
      <c r="N92">
        <f ca="1"/>
        <v>0</v>
      </c>
      <c r="O92">
        <f ca="1"/>
        <v>0</v>
      </c>
      <c r="P92">
        <f ca="1"/>
        <v>0</v>
      </c>
      <c r="Q92">
        <f ca="1"/>
        <v>31</v>
      </c>
      <c r="R92">
        <f ca="1"/>
        <v>0</v>
      </c>
      <c r="S92">
        <f ca="1"/>
        <v>31</v>
      </c>
      <c r="T92" t="str">
        <f t="shared" ca="1" si="19"/>
        <v>ION</v>
      </c>
      <c r="AK92" t="s">
        <v>282</v>
      </c>
      <c r="AL92" t="s">
        <v>174</v>
      </c>
      <c r="AM92" s="23">
        <f t="shared" ca="1" si="2"/>
        <v>55</v>
      </c>
      <c r="AN92" s="23"/>
      <c r="AO92" s="23">
        <f t="shared" ca="1" si="3"/>
        <v>47</v>
      </c>
      <c r="AP92" s="23"/>
      <c r="AQ92" s="23">
        <f t="shared" ca="1" si="4"/>
        <v>0</v>
      </c>
      <c r="AR92" s="23"/>
      <c r="AS92" s="23">
        <f t="shared" ca="1" si="5"/>
        <v>0</v>
      </c>
      <c r="AT92" s="23"/>
      <c r="AU92" s="23">
        <f t="shared" ca="1" si="6"/>
        <v>0</v>
      </c>
      <c r="AV92" s="23"/>
      <c r="AW92" s="23">
        <f t="shared" ca="1" si="7"/>
        <v>0</v>
      </c>
      <c r="AX92" s="23"/>
      <c r="AY92" s="23">
        <f t="shared" ca="1" si="8"/>
        <v>0</v>
      </c>
      <c r="AZ92" s="23"/>
      <c r="BA92">
        <f t="shared" ca="1" si="9"/>
        <v>142</v>
      </c>
      <c r="BC92">
        <f t="shared" ca="1" si="10"/>
        <v>142</v>
      </c>
      <c r="BE92" t="s">
        <v>282</v>
      </c>
      <c r="BF92" t="s">
        <v>174</v>
      </c>
      <c r="BG92" s="23">
        <f t="shared" si="11"/>
        <v>40</v>
      </c>
      <c r="BH92" s="23"/>
      <c r="BI92" s="23">
        <f t="shared" si="12"/>
        <v>0</v>
      </c>
      <c r="BJ92" s="23"/>
      <c r="BK92" s="23">
        <f t="shared" si="13"/>
        <v>0</v>
      </c>
      <c r="BL92" s="23"/>
      <c r="BM92" s="23">
        <f t="shared" si="14"/>
        <v>0</v>
      </c>
      <c r="BN92" s="23"/>
      <c r="BO92" s="23">
        <f t="shared" si="15"/>
        <v>0</v>
      </c>
      <c r="BP92" s="23"/>
      <c r="BQ92">
        <f t="shared" si="16"/>
        <v>40</v>
      </c>
      <c r="BS92" s="23">
        <f t="shared" si="17"/>
        <v>0</v>
      </c>
      <c r="BT92" s="23"/>
      <c r="BU92">
        <f t="shared" si="18"/>
        <v>80</v>
      </c>
    </row>
    <row r="93" spans="1:73" x14ac:dyDescent="0.25">
      <c r="A93" t="str">
        <f ca="1"/>
        <v>Full Blue Racing</v>
      </c>
      <c r="B93" t="str">
        <f ca="1"/>
        <v>CAMA</v>
      </c>
      <c r="C93">
        <f ca="1"/>
        <v>26</v>
      </c>
      <c r="D93">
        <f ca="1"/>
        <v>0</v>
      </c>
      <c r="E93">
        <f ca="1"/>
        <v>0</v>
      </c>
      <c r="F93">
        <f ca="1"/>
        <v>0</v>
      </c>
      <c r="G93">
        <f ca="1"/>
        <v>0</v>
      </c>
      <c r="H93">
        <f ca="1"/>
        <v>0</v>
      </c>
      <c r="I93">
        <f ca="1"/>
        <v>0</v>
      </c>
      <c r="J93">
        <f ca="1"/>
        <v>0</v>
      </c>
      <c r="K93">
        <f ca="1"/>
        <v>0</v>
      </c>
      <c r="L93">
        <f ca="1"/>
        <v>0</v>
      </c>
      <c r="M93">
        <f ca="1"/>
        <v>0</v>
      </c>
      <c r="N93">
        <f ca="1"/>
        <v>0</v>
      </c>
      <c r="O93">
        <f ca="1"/>
        <v>0</v>
      </c>
      <c r="P93">
        <f ca="1"/>
        <v>0</v>
      </c>
      <c r="Q93">
        <f ca="1"/>
        <v>26</v>
      </c>
      <c r="R93">
        <f ca="1"/>
        <v>0</v>
      </c>
      <c r="S93">
        <f ca="1"/>
        <v>26</v>
      </c>
      <c r="T93" t="str">
        <f t="shared" ca="1" si="19"/>
        <v>CAMA</v>
      </c>
      <c r="AK93" t="s">
        <v>283</v>
      </c>
      <c r="AL93" t="s">
        <v>175</v>
      </c>
      <c r="AM93" s="23">
        <f t="shared" ca="1" si="2"/>
        <v>33</v>
      </c>
      <c r="AN93" s="23"/>
      <c r="AO93" s="23">
        <f t="shared" ca="1" si="3"/>
        <v>50</v>
      </c>
      <c r="AP93" s="23"/>
      <c r="AQ93" s="23">
        <f t="shared" ca="1" si="4"/>
        <v>0</v>
      </c>
      <c r="AR93" s="23"/>
      <c r="AS93" s="23">
        <f t="shared" ca="1" si="5"/>
        <v>0</v>
      </c>
      <c r="AT93" s="23"/>
      <c r="AU93" s="23">
        <f t="shared" ca="1" si="6"/>
        <v>0</v>
      </c>
      <c r="AV93" s="23"/>
      <c r="AW93" s="23">
        <f t="shared" ca="1" si="7"/>
        <v>0</v>
      </c>
      <c r="AX93" s="23"/>
      <c r="AY93" s="23">
        <f t="shared" ca="1" si="8"/>
        <v>0</v>
      </c>
      <c r="AZ93" s="23"/>
      <c r="BA93">
        <f t="shared" ca="1" si="9"/>
        <v>103</v>
      </c>
      <c r="BC93">
        <f t="shared" ca="1" si="10"/>
        <v>103</v>
      </c>
      <c r="BE93" t="s">
        <v>283</v>
      </c>
      <c r="BF93" t="s">
        <v>175</v>
      </c>
      <c r="BG93" s="23">
        <f t="shared" si="11"/>
        <v>20</v>
      </c>
      <c r="BH93" s="23"/>
      <c r="BI93" s="23">
        <f t="shared" si="12"/>
        <v>0</v>
      </c>
      <c r="BJ93" s="23"/>
      <c r="BK93" s="23">
        <f t="shared" si="13"/>
        <v>0</v>
      </c>
      <c r="BL93" s="23"/>
      <c r="BM93" s="23">
        <f t="shared" si="14"/>
        <v>0</v>
      </c>
      <c r="BN93" s="23"/>
      <c r="BO93" s="23">
        <f t="shared" si="15"/>
        <v>0</v>
      </c>
      <c r="BP93" s="23"/>
      <c r="BQ93">
        <f t="shared" si="16"/>
        <v>20</v>
      </c>
      <c r="BS93" s="23">
        <f t="shared" si="17"/>
        <v>0</v>
      </c>
      <c r="BT93" s="23"/>
      <c r="BU93">
        <f t="shared" si="18"/>
        <v>40</v>
      </c>
    </row>
    <row r="94" spans="1:73" x14ac:dyDescent="0.25">
      <c r="A94" t="str">
        <f ca="1"/>
        <v>Lassonde Motorsports</v>
      </c>
      <c r="B94" t="str">
        <f ca="1"/>
        <v>LASS</v>
      </c>
      <c r="C94">
        <f ca="1"/>
        <v>25</v>
      </c>
      <c r="D94">
        <f ca="1"/>
        <v>0</v>
      </c>
      <c r="E94">
        <f ca="1"/>
        <v>0</v>
      </c>
      <c r="F94">
        <f ca="1"/>
        <v>0</v>
      </c>
      <c r="G94">
        <f ca="1"/>
        <v>0</v>
      </c>
      <c r="H94">
        <f ca="1"/>
        <v>0</v>
      </c>
      <c r="I94">
        <f ca="1"/>
        <v>0</v>
      </c>
      <c r="J94">
        <f ca="1"/>
        <v>0</v>
      </c>
      <c r="K94">
        <f ca="1"/>
        <v>0</v>
      </c>
      <c r="L94">
        <f ca="1"/>
        <v>0</v>
      </c>
      <c r="M94">
        <f ca="1"/>
        <v>0</v>
      </c>
      <c r="N94">
        <f ca="1"/>
        <v>0</v>
      </c>
      <c r="O94">
        <f ca="1"/>
        <v>0</v>
      </c>
      <c r="P94">
        <f ca="1"/>
        <v>0</v>
      </c>
      <c r="Q94">
        <f ca="1"/>
        <v>25</v>
      </c>
      <c r="R94">
        <f ca="1"/>
        <v>0</v>
      </c>
      <c r="S94">
        <f ca="1"/>
        <v>25</v>
      </c>
      <c r="T94" t="str">
        <f t="shared" ca="1" si="19"/>
        <v>LASS</v>
      </c>
      <c r="AK94" t="s">
        <v>284</v>
      </c>
      <c r="AL94" t="s">
        <v>178</v>
      </c>
      <c r="AM94" s="23">
        <f t="shared" ca="1" si="2"/>
        <v>24</v>
      </c>
      <c r="AN94" s="23"/>
      <c r="AO94" s="23">
        <f t="shared" ca="1" si="3"/>
        <v>37</v>
      </c>
      <c r="AP94" s="23"/>
      <c r="AQ94" s="23">
        <f t="shared" ca="1" si="4"/>
        <v>0</v>
      </c>
      <c r="AR94" s="23"/>
      <c r="AS94" s="23">
        <f t="shared" ca="1" si="5"/>
        <v>0</v>
      </c>
      <c r="AT94" s="23"/>
      <c r="AU94" s="23">
        <f t="shared" ca="1" si="6"/>
        <v>0</v>
      </c>
      <c r="AV94" s="23"/>
      <c r="AW94" s="23">
        <f t="shared" ca="1" si="7"/>
        <v>0</v>
      </c>
      <c r="AX94" s="23"/>
      <c r="AY94" s="23">
        <f t="shared" ca="1" si="8"/>
        <v>0</v>
      </c>
      <c r="AZ94" s="23"/>
      <c r="BA94">
        <f t="shared" ca="1" si="9"/>
        <v>61</v>
      </c>
      <c r="BC94">
        <f t="shared" ca="1" si="10"/>
        <v>61</v>
      </c>
      <c r="BE94" t="s">
        <v>284</v>
      </c>
      <c r="BF94" t="s">
        <v>178</v>
      </c>
      <c r="BG94" s="23">
        <f t="shared" si="11"/>
        <v>0</v>
      </c>
      <c r="BH94" s="23"/>
      <c r="BI94" s="23">
        <f t="shared" si="12"/>
        <v>0</v>
      </c>
      <c r="BJ94" s="23"/>
      <c r="BK94" s="23">
        <f t="shared" si="13"/>
        <v>0</v>
      </c>
      <c r="BL94" s="23"/>
      <c r="BM94" s="23">
        <f t="shared" si="14"/>
        <v>0</v>
      </c>
      <c r="BN94" s="23"/>
      <c r="BO94" s="23">
        <f t="shared" si="15"/>
        <v>0</v>
      </c>
      <c r="BP94" s="23"/>
      <c r="BQ94">
        <f t="shared" si="16"/>
        <v>0</v>
      </c>
      <c r="BS94" s="23">
        <f t="shared" si="17"/>
        <v>0</v>
      </c>
      <c r="BT94" s="23"/>
      <c r="BU94">
        <f t="shared" si="18"/>
        <v>0</v>
      </c>
    </row>
    <row r="95" spans="1:73" x14ac:dyDescent="0.25">
      <c r="A95" t="str">
        <f ca="1"/>
        <v>Formula Student Team Napier</v>
      </c>
      <c r="B95" t="str">
        <f ca="1"/>
        <v>FSTN</v>
      </c>
      <c r="C95">
        <f ca="1"/>
        <v>19</v>
      </c>
      <c r="D95">
        <f ca="1"/>
        <v>0</v>
      </c>
      <c r="E95">
        <f ca="1"/>
        <v>6</v>
      </c>
      <c r="F95">
        <f ca="1"/>
        <v>0</v>
      </c>
      <c r="G95">
        <f ca="1"/>
        <v>0</v>
      </c>
      <c r="H95">
        <f ca="1"/>
        <v>0</v>
      </c>
      <c r="I95">
        <f ca="1"/>
        <v>0</v>
      </c>
      <c r="J95">
        <f ca="1"/>
        <v>0</v>
      </c>
      <c r="K95">
        <f ca="1"/>
        <v>0</v>
      </c>
      <c r="L95">
        <f ca="1"/>
        <v>0</v>
      </c>
      <c r="M95">
        <f ca="1"/>
        <v>0</v>
      </c>
      <c r="N95">
        <f ca="1"/>
        <v>0</v>
      </c>
      <c r="O95">
        <f ca="1"/>
        <v>0</v>
      </c>
      <c r="P95">
        <f ca="1"/>
        <v>0</v>
      </c>
      <c r="Q95">
        <f ca="1"/>
        <v>25</v>
      </c>
      <c r="R95">
        <f ca="1"/>
        <v>0</v>
      </c>
      <c r="S95">
        <f ca="1"/>
        <v>25</v>
      </c>
      <c r="T95" t="str">
        <f t="shared" ca="1" si="19"/>
        <v>FSTN</v>
      </c>
      <c r="AK95" t="s">
        <v>285</v>
      </c>
      <c r="AL95" t="s">
        <v>183</v>
      </c>
      <c r="AM95" s="23">
        <f t="shared" ca="1" si="2"/>
        <v>44</v>
      </c>
      <c r="AN95" s="23"/>
      <c r="AO95" s="23">
        <f t="shared" ca="1" si="3"/>
        <v>44</v>
      </c>
      <c r="AP95" s="23"/>
      <c r="AQ95" s="23">
        <f t="shared" ca="1" si="4"/>
        <v>0</v>
      </c>
      <c r="AR95" s="23"/>
      <c r="AS95" s="23">
        <f t="shared" ca="1" si="5"/>
        <v>0</v>
      </c>
      <c r="AT95" s="23"/>
      <c r="AU95" s="23">
        <f t="shared" ca="1" si="6"/>
        <v>0</v>
      </c>
      <c r="AV95" s="23"/>
      <c r="AW95" s="23">
        <f t="shared" ca="1" si="7"/>
        <v>0</v>
      </c>
      <c r="AX95" s="23"/>
      <c r="AY95" s="23">
        <f t="shared" ca="1" si="8"/>
        <v>0</v>
      </c>
      <c r="AZ95" s="23"/>
      <c r="BA95">
        <f t="shared" ca="1" si="9"/>
        <v>88</v>
      </c>
      <c r="BC95">
        <f t="shared" ca="1" si="10"/>
        <v>88</v>
      </c>
      <c r="BE95" t="s">
        <v>285</v>
      </c>
      <c r="BF95" t="s">
        <v>183</v>
      </c>
      <c r="BG95" s="23">
        <f t="shared" si="11"/>
        <v>0</v>
      </c>
      <c r="BH95" s="23"/>
      <c r="BI95" s="23">
        <f t="shared" si="12"/>
        <v>0</v>
      </c>
      <c r="BJ95" s="23"/>
      <c r="BK95" s="23">
        <f t="shared" si="13"/>
        <v>0</v>
      </c>
      <c r="BL95" s="23"/>
      <c r="BM95" s="23">
        <f t="shared" si="14"/>
        <v>0</v>
      </c>
      <c r="BN95" s="23"/>
      <c r="BO95" s="23">
        <f t="shared" si="15"/>
        <v>0</v>
      </c>
      <c r="BP95" s="23"/>
      <c r="BQ95">
        <f t="shared" si="16"/>
        <v>0</v>
      </c>
      <c r="BS95" s="23">
        <f t="shared" si="17"/>
        <v>0</v>
      </c>
      <c r="BT95" s="23"/>
      <c r="BU95">
        <f t="shared" si="18"/>
        <v>0</v>
      </c>
    </row>
    <row r="96" spans="1:73" x14ac:dyDescent="0.25">
      <c r="A96" t="str">
        <f ca="1"/>
        <v>HWRacing</v>
      </c>
      <c r="B96" t="str">
        <f ca="1"/>
        <v>HW</v>
      </c>
      <c r="C96">
        <f ca="1"/>
        <v>16</v>
      </c>
      <c r="D96">
        <f ca="1"/>
        <v>0</v>
      </c>
      <c r="E96">
        <f ca="1"/>
        <v>7</v>
      </c>
      <c r="F96">
        <f ca="1"/>
        <v>0</v>
      </c>
      <c r="G96">
        <f ca="1"/>
        <v>0</v>
      </c>
      <c r="H96">
        <f ca="1"/>
        <v>0</v>
      </c>
      <c r="I96">
        <f ca="1"/>
        <v>0</v>
      </c>
      <c r="J96">
        <f ca="1"/>
        <v>0</v>
      </c>
      <c r="K96">
        <f ca="1"/>
        <v>0</v>
      </c>
      <c r="L96">
        <f ca="1"/>
        <v>0</v>
      </c>
      <c r="M96">
        <f ca="1"/>
        <v>0</v>
      </c>
      <c r="N96">
        <f ca="1"/>
        <v>0</v>
      </c>
      <c r="O96">
        <f ca="1"/>
        <v>0</v>
      </c>
      <c r="P96">
        <f ca="1"/>
        <v>0</v>
      </c>
      <c r="Q96">
        <f ca="1"/>
        <v>23</v>
      </c>
      <c r="R96">
        <f ca="1"/>
        <v>0</v>
      </c>
      <c r="S96">
        <f ca="1"/>
        <v>23</v>
      </c>
      <c r="T96" t="str">
        <f t="shared" ca="1" si="19"/>
        <v>HW</v>
      </c>
      <c r="AK96" t="s">
        <v>286</v>
      </c>
      <c r="AL96" t="s">
        <v>187</v>
      </c>
      <c r="AM96" s="23">
        <f t="shared" ca="1" si="2"/>
        <v>0</v>
      </c>
      <c r="AN96" s="23"/>
      <c r="AO96" s="23">
        <f t="shared" ca="1" si="3"/>
        <v>0</v>
      </c>
      <c r="AP96" s="23"/>
      <c r="AQ96" s="23">
        <f t="shared" ca="1" si="4"/>
        <v>0</v>
      </c>
      <c r="AR96" s="23"/>
      <c r="AS96" s="23">
        <f t="shared" ca="1" si="5"/>
        <v>0</v>
      </c>
      <c r="AT96" s="23"/>
      <c r="AU96" s="23">
        <f t="shared" ca="1" si="6"/>
        <v>0</v>
      </c>
      <c r="AV96" s="23"/>
      <c r="AW96" s="23">
        <f t="shared" ca="1" si="7"/>
        <v>0</v>
      </c>
      <c r="AX96" s="23"/>
      <c r="AY96" s="23">
        <f t="shared" ca="1" si="8"/>
        <v>0</v>
      </c>
      <c r="AZ96" s="23"/>
      <c r="BA96">
        <f t="shared" ca="1" si="9"/>
        <v>0</v>
      </c>
      <c r="BC96">
        <f t="shared" ca="1" si="10"/>
        <v>0</v>
      </c>
      <c r="BE96" t="s">
        <v>286</v>
      </c>
      <c r="BF96" t="s">
        <v>187</v>
      </c>
      <c r="BG96" s="23">
        <f t="shared" si="11"/>
        <v>0</v>
      </c>
      <c r="BH96" s="23"/>
      <c r="BI96" s="23">
        <f t="shared" si="12"/>
        <v>0</v>
      </c>
      <c r="BJ96" s="23"/>
      <c r="BK96" s="23">
        <f t="shared" si="13"/>
        <v>0</v>
      </c>
      <c r="BL96" s="23"/>
      <c r="BM96" s="23">
        <f t="shared" si="14"/>
        <v>0</v>
      </c>
      <c r="BN96" s="23"/>
      <c r="BO96" s="23">
        <f t="shared" si="15"/>
        <v>0</v>
      </c>
      <c r="BP96" s="23"/>
      <c r="BQ96">
        <f t="shared" si="16"/>
        <v>0</v>
      </c>
      <c r="BS96" s="23">
        <f t="shared" si="17"/>
        <v>0</v>
      </c>
      <c r="BT96" s="23"/>
      <c r="BU96">
        <f t="shared" si="18"/>
        <v>0</v>
      </c>
    </row>
    <row r="97" spans="1:73" x14ac:dyDescent="0.25">
      <c r="A97" t="str">
        <f ca="1"/>
        <v>Kingston Racing</v>
      </c>
      <c r="B97" t="str">
        <f ca="1"/>
        <v>KING</v>
      </c>
      <c r="C97">
        <f ca="1"/>
        <v>1</v>
      </c>
      <c r="D97">
        <f ca="1"/>
        <v>0</v>
      </c>
      <c r="E97">
        <f ca="1"/>
        <v>15</v>
      </c>
      <c r="F97">
        <f ca="1"/>
        <v>0</v>
      </c>
      <c r="G97">
        <f ca="1"/>
        <v>0</v>
      </c>
      <c r="H97">
        <f ca="1"/>
        <v>0</v>
      </c>
      <c r="I97">
        <f ca="1"/>
        <v>0</v>
      </c>
      <c r="J97">
        <f ca="1"/>
        <v>0</v>
      </c>
      <c r="K97">
        <f ca="1"/>
        <v>0</v>
      </c>
      <c r="L97">
        <f ca="1"/>
        <v>0</v>
      </c>
      <c r="M97">
        <f ca="1"/>
        <v>0</v>
      </c>
      <c r="N97">
        <f ca="1"/>
        <v>0</v>
      </c>
      <c r="O97">
        <f ca="1"/>
        <v>0</v>
      </c>
      <c r="P97">
        <f ca="1"/>
        <v>0</v>
      </c>
      <c r="Q97">
        <f ca="1"/>
        <v>16</v>
      </c>
      <c r="R97">
        <f ca="1"/>
        <v>0</v>
      </c>
      <c r="S97">
        <f ca="1"/>
        <v>16</v>
      </c>
      <c r="T97" t="str">
        <f t="shared" ca="1" si="19"/>
        <v>KING</v>
      </c>
      <c r="AK97" t="s">
        <v>287</v>
      </c>
      <c r="AL97" t="s">
        <v>190</v>
      </c>
      <c r="AM97" s="23">
        <f t="shared" ca="1" si="2"/>
        <v>96</v>
      </c>
      <c r="AN97" s="23"/>
      <c r="AO97" s="23">
        <f t="shared" ca="1" si="3"/>
        <v>51</v>
      </c>
      <c r="AP97" s="23"/>
      <c r="AQ97" s="23">
        <f t="shared" ca="1" si="4"/>
        <v>0</v>
      </c>
      <c r="AR97" s="23"/>
      <c r="AS97" s="23">
        <f t="shared" ca="1" si="5"/>
        <v>0</v>
      </c>
      <c r="AT97" s="23"/>
      <c r="AU97" s="23">
        <f t="shared" ca="1" si="6"/>
        <v>0</v>
      </c>
      <c r="AV97" s="23"/>
      <c r="AW97" s="23">
        <f t="shared" ca="1" si="7"/>
        <v>0</v>
      </c>
      <c r="AX97" s="23"/>
      <c r="AY97" s="23">
        <f t="shared" ca="1" si="8"/>
        <v>0</v>
      </c>
      <c r="AZ97" s="23"/>
      <c r="BA97">
        <f t="shared" ca="1" si="9"/>
        <v>179</v>
      </c>
      <c r="BC97">
        <f t="shared" ca="1" si="10"/>
        <v>179</v>
      </c>
      <c r="BE97" t="s">
        <v>287</v>
      </c>
      <c r="BF97" t="s">
        <v>190</v>
      </c>
      <c r="BG97" s="23">
        <f t="shared" si="11"/>
        <v>32</v>
      </c>
      <c r="BH97" s="23"/>
      <c r="BI97" s="23">
        <f t="shared" si="12"/>
        <v>0</v>
      </c>
      <c r="BJ97" s="23"/>
      <c r="BK97" s="23">
        <f t="shared" si="13"/>
        <v>0</v>
      </c>
      <c r="BL97" s="23"/>
      <c r="BM97" s="23">
        <f t="shared" si="14"/>
        <v>0</v>
      </c>
      <c r="BN97" s="23"/>
      <c r="BO97" s="23">
        <f t="shared" si="15"/>
        <v>0</v>
      </c>
      <c r="BP97" s="23"/>
      <c r="BQ97">
        <f t="shared" si="16"/>
        <v>32</v>
      </c>
      <c r="BS97" s="23">
        <f t="shared" si="17"/>
        <v>0</v>
      </c>
      <c r="BT97" s="23"/>
      <c r="BU97">
        <f t="shared" si="18"/>
        <v>64</v>
      </c>
    </row>
    <row r="98" spans="1:73" x14ac:dyDescent="0.25">
      <c r="A98" t="str">
        <f ca="1"/>
        <v>NTU Racing</v>
      </c>
      <c r="B98" t="str">
        <f ca="1"/>
        <v>NTU</v>
      </c>
      <c r="C98">
        <f ca="1"/>
        <v>3</v>
      </c>
      <c r="D98">
        <f ca="1"/>
        <v>0</v>
      </c>
      <c r="E98">
        <f ca="1"/>
        <v>10</v>
      </c>
      <c r="F98">
        <f ca="1"/>
        <v>0</v>
      </c>
      <c r="G98">
        <f ca="1"/>
        <v>0</v>
      </c>
      <c r="H98">
        <f ca="1"/>
        <v>0</v>
      </c>
      <c r="I98">
        <f ca="1"/>
        <v>0</v>
      </c>
      <c r="J98">
        <f ca="1"/>
        <v>0</v>
      </c>
      <c r="K98">
        <f ca="1"/>
        <v>0</v>
      </c>
      <c r="L98">
        <f ca="1"/>
        <v>0</v>
      </c>
      <c r="M98">
        <f ca="1"/>
        <v>0</v>
      </c>
      <c r="N98">
        <f ca="1"/>
        <v>0</v>
      </c>
      <c r="O98">
        <f ca="1"/>
        <v>0</v>
      </c>
      <c r="P98">
        <f ca="1"/>
        <v>0</v>
      </c>
      <c r="Q98">
        <f ca="1"/>
        <v>13</v>
      </c>
      <c r="R98">
        <f ca="1"/>
        <v>0</v>
      </c>
      <c r="S98">
        <f ca="1"/>
        <v>13</v>
      </c>
      <c r="T98" t="str">
        <f t="shared" ca="1" si="19"/>
        <v>NTU</v>
      </c>
      <c r="AK98" t="s">
        <v>288</v>
      </c>
      <c r="AL98" t="s">
        <v>191</v>
      </c>
      <c r="AM98" s="23">
        <f t="shared" ca="1" si="2"/>
        <v>47</v>
      </c>
      <c r="AN98" s="23"/>
      <c r="AO98" s="23">
        <f t="shared" ca="1" si="3"/>
        <v>42</v>
      </c>
      <c r="AP98" s="23"/>
      <c r="AQ98" s="23">
        <f t="shared" ca="1" si="4"/>
        <v>0</v>
      </c>
      <c r="AR98" s="23"/>
      <c r="AS98" s="23">
        <f t="shared" ca="1" si="5"/>
        <v>0</v>
      </c>
      <c r="AT98" s="23"/>
      <c r="AU98" s="23">
        <f t="shared" ca="1" si="6"/>
        <v>0</v>
      </c>
      <c r="AV98" s="23"/>
      <c r="AW98" s="23">
        <f t="shared" ca="1" si="7"/>
        <v>0</v>
      </c>
      <c r="AX98" s="23"/>
      <c r="AY98" s="23">
        <f t="shared" ca="1" si="8"/>
        <v>0</v>
      </c>
      <c r="AZ98" s="23"/>
      <c r="BA98">
        <f t="shared" ca="1" si="9"/>
        <v>109</v>
      </c>
      <c r="BC98">
        <f t="shared" ca="1" si="10"/>
        <v>109</v>
      </c>
      <c r="BE98" t="s">
        <v>288</v>
      </c>
      <c r="BF98" t="s">
        <v>191</v>
      </c>
      <c r="BG98" s="23">
        <f t="shared" si="11"/>
        <v>20</v>
      </c>
      <c r="BH98" s="23"/>
      <c r="BI98" s="23">
        <f t="shared" si="12"/>
        <v>0</v>
      </c>
      <c r="BJ98" s="23"/>
      <c r="BK98" s="23">
        <f t="shared" si="13"/>
        <v>0</v>
      </c>
      <c r="BL98" s="23"/>
      <c r="BM98" s="23">
        <f t="shared" si="14"/>
        <v>0</v>
      </c>
      <c r="BN98" s="23"/>
      <c r="BO98" s="23">
        <f t="shared" si="15"/>
        <v>0</v>
      </c>
      <c r="BP98" s="23"/>
      <c r="BQ98">
        <f t="shared" si="16"/>
        <v>20</v>
      </c>
      <c r="BS98" s="23">
        <f t="shared" si="17"/>
        <v>0</v>
      </c>
      <c r="BT98" s="23"/>
      <c r="BU98">
        <f t="shared" si="18"/>
        <v>40</v>
      </c>
    </row>
    <row r="99" spans="1:73" x14ac:dyDescent="0.25">
      <c r="A99" t="str">
        <f ca="1"/>
        <v>UG Racing B</v>
      </c>
      <c r="B99" t="str">
        <f ca="1"/>
        <v>UGRB</v>
      </c>
      <c r="C99">
        <f ca="1"/>
        <v>0</v>
      </c>
      <c r="D99">
        <f ca="1"/>
        <v>0</v>
      </c>
      <c r="E99">
        <f ca="1"/>
        <v>13</v>
      </c>
      <c r="F99">
        <f ca="1"/>
        <v>0</v>
      </c>
      <c r="G99">
        <f ca="1"/>
        <v>0</v>
      </c>
      <c r="H99">
        <f ca="1"/>
        <v>0</v>
      </c>
      <c r="I99">
        <f ca="1"/>
        <v>0</v>
      </c>
      <c r="J99">
        <f ca="1"/>
        <v>0</v>
      </c>
      <c r="K99">
        <f ca="1"/>
        <v>0</v>
      </c>
      <c r="L99">
        <f ca="1"/>
        <v>0</v>
      </c>
      <c r="M99">
        <f ca="1"/>
        <v>0</v>
      </c>
      <c r="N99">
        <f ca="1"/>
        <v>0</v>
      </c>
      <c r="O99">
        <f ca="1"/>
        <v>0</v>
      </c>
      <c r="P99">
        <f ca="1"/>
        <v>0</v>
      </c>
      <c r="Q99">
        <f ca="1"/>
        <v>13</v>
      </c>
      <c r="R99">
        <f ca="1"/>
        <v>0</v>
      </c>
      <c r="S99">
        <f ca="1"/>
        <v>13</v>
      </c>
      <c r="T99" t="str">
        <f t="shared" ca="1" si="19"/>
        <v>UGRB</v>
      </c>
      <c r="AK99" t="s">
        <v>289</v>
      </c>
      <c r="AL99" t="s">
        <v>194</v>
      </c>
      <c r="AM99" s="23">
        <f t="shared" ca="1" si="2"/>
        <v>0</v>
      </c>
      <c r="AN99" s="23"/>
      <c r="AO99" s="23">
        <f t="shared" ca="1" si="3"/>
        <v>0</v>
      </c>
      <c r="AP99" s="23"/>
      <c r="AQ99" s="23">
        <f t="shared" ca="1" si="4"/>
        <v>0</v>
      </c>
      <c r="AR99" s="23"/>
      <c r="AS99" s="23">
        <f t="shared" ca="1" si="5"/>
        <v>0</v>
      </c>
      <c r="AT99" s="23"/>
      <c r="AU99" s="23">
        <f t="shared" ca="1" si="6"/>
        <v>0</v>
      </c>
      <c r="AV99" s="23"/>
      <c r="AW99" s="23">
        <f t="shared" ca="1" si="7"/>
        <v>0</v>
      </c>
      <c r="AX99" s="23"/>
      <c r="AY99" s="23">
        <f t="shared" ca="1" si="8"/>
        <v>0</v>
      </c>
      <c r="AZ99" s="23"/>
      <c r="BA99">
        <f t="shared" ca="1" si="9"/>
        <v>0</v>
      </c>
      <c r="BC99">
        <f t="shared" ca="1" si="10"/>
        <v>0</v>
      </c>
      <c r="BE99" t="s">
        <v>289</v>
      </c>
      <c r="BF99" t="s">
        <v>194</v>
      </c>
      <c r="BG99" s="23">
        <f t="shared" si="11"/>
        <v>0</v>
      </c>
      <c r="BH99" s="23"/>
      <c r="BI99" s="23">
        <f t="shared" si="12"/>
        <v>0</v>
      </c>
      <c r="BJ99" s="23"/>
      <c r="BK99" s="23">
        <f t="shared" si="13"/>
        <v>0</v>
      </c>
      <c r="BL99" s="23"/>
      <c r="BM99" s="23">
        <f t="shared" si="14"/>
        <v>0</v>
      </c>
      <c r="BN99" s="23"/>
      <c r="BO99" s="23">
        <f t="shared" si="15"/>
        <v>0</v>
      </c>
      <c r="BP99" s="23"/>
      <c r="BQ99">
        <f t="shared" si="16"/>
        <v>0</v>
      </c>
      <c r="BS99" s="23">
        <f t="shared" si="17"/>
        <v>0</v>
      </c>
      <c r="BT99" s="23"/>
      <c r="BU99">
        <f t="shared" si="18"/>
        <v>0</v>
      </c>
    </row>
    <row r="100" spans="1:73" x14ac:dyDescent="0.25">
      <c r="A100" t="str">
        <f ca="1"/>
        <v>Jorvik Racing B</v>
      </c>
      <c r="B100" t="str">
        <f ca="1"/>
        <v>YORKB</v>
      </c>
      <c r="C100">
        <f ca="1"/>
        <v>7</v>
      </c>
      <c r="D100">
        <f ca="1"/>
        <v>0</v>
      </c>
      <c r="E100">
        <f ca="1"/>
        <v>2</v>
      </c>
      <c r="F100">
        <f ca="1"/>
        <v>0</v>
      </c>
      <c r="G100">
        <f ca="1"/>
        <v>0</v>
      </c>
      <c r="H100">
        <f ca="1"/>
        <v>0</v>
      </c>
      <c r="I100">
        <f ca="1"/>
        <v>0</v>
      </c>
      <c r="J100">
        <f ca="1"/>
        <v>0</v>
      </c>
      <c r="K100">
        <f ca="1"/>
        <v>0</v>
      </c>
      <c r="L100">
        <f ca="1"/>
        <v>0</v>
      </c>
      <c r="M100">
        <f ca="1"/>
        <v>0</v>
      </c>
      <c r="N100">
        <f ca="1"/>
        <v>0</v>
      </c>
      <c r="O100">
        <f ca="1"/>
        <v>0</v>
      </c>
      <c r="P100">
        <f ca="1"/>
        <v>0</v>
      </c>
      <c r="Q100">
        <f ca="1"/>
        <v>9</v>
      </c>
      <c r="R100">
        <f ca="1"/>
        <v>0</v>
      </c>
      <c r="S100">
        <f ca="1"/>
        <v>9</v>
      </c>
      <c r="T100" t="str">
        <f t="shared" ca="1" si="19"/>
        <v>YORKB</v>
      </c>
      <c r="AK100" t="s">
        <v>290</v>
      </c>
      <c r="AL100" t="s">
        <v>200</v>
      </c>
      <c r="AM100" s="23">
        <f t="shared" ca="1" si="2"/>
        <v>60</v>
      </c>
      <c r="AN100" s="23"/>
      <c r="AO100" s="23">
        <f t="shared" ca="1" si="3"/>
        <v>64</v>
      </c>
      <c r="AP100" s="23"/>
      <c r="AQ100" s="23">
        <f t="shared" ca="1" si="4"/>
        <v>0</v>
      </c>
      <c r="AR100" s="23"/>
      <c r="AS100" s="23">
        <f t="shared" ca="1" si="5"/>
        <v>0</v>
      </c>
      <c r="AT100" s="23"/>
      <c r="AU100" s="23">
        <f t="shared" ca="1" si="6"/>
        <v>0</v>
      </c>
      <c r="AV100" s="23"/>
      <c r="AW100" s="23">
        <f t="shared" ca="1" si="7"/>
        <v>0</v>
      </c>
      <c r="AX100" s="23"/>
      <c r="AY100" s="23">
        <f t="shared" ca="1" si="8"/>
        <v>0</v>
      </c>
      <c r="AZ100" s="23"/>
      <c r="BA100">
        <f t="shared" ca="1" si="9"/>
        <v>124</v>
      </c>
      <c r="BC100">
        <f t="shared" ca="1" si="10"/>
        <v>124</v>
      </c>
      <c r="BE100" t="s">
        <v>290</v>
      </c>
      <c r="BF100" t="s">
        <v>200</v>
      </c>
      <c r="BG100" s="23">
        <f t="shared" si="11"/>
        <v>0</v>
      </c>
      <c r="BH100" s="23"/>
      <c r="BI100" s="23">
        <f t="shared" si="12"/>
        <v>0</v>
      </c>
      <c r="BJ100" s="23"/>
      <c r="BK100" s="23">
        <f t="shared" si="13"/>
        <v>0</v>
      </c>
      <c r="BL100" s="23"/>
      <c r="BM100" s="23">
        <f t="shared" si="14"/>
        <v>0</v>
      </c>
      <c r="BN100" s="23"/>
      <c r="BO100" s="23">
        <f t="shared" si="15"/>
        <v>0</v>
      </c>
      <c r="BP100" s="23"/>
      <c r="BQ100">
        <f t="shared" si="16"/>
        <v>0</v>
      </c>
      <c r="BS100" s="23">
        <f t="shared" si="17"/>
        <v>0</v>
      </c>
      <c r="BT100" s="23"/>
      <c r="BU100">
        <f t="shared" si="18"/>
        <v>0</v>
      </c>
    </row>
    <row r="101" spans="1:73" x14ac:dyDescent="0.25">
      <c r="A101" t="str">
        <f ca="1"/>
        <v>Half Blue Racing</v>
      </c>
      <c r="B101" t="str">
        <f ca="1"/>
        <v>CAMB</v>
      </c>
      <c r="C101">
        <f ca="1"/>
        <v>0</v>
      </c>
      <c r="D101">
        <f ca="1"/>
        <v>0</v>
      </c>
      <c r="E101">
        <f ca="1"/>
        <v>3</v>
      </c>
      <c r="F101">
        <f ca="1"/>
        <v>0</v>
      </c>
      <c r="G101">
        <f ca="1"/>
        <v>0</v>
      </c>
      <c r="H101">
        <f ca="1"/>
        <v>0</v>
      </c>
      <c r="I101">
        <f ca="1"/>
        <v>0</v>
      </c>
      <c r="J101">
        <f ca="1"/>
        <v>0</v>
      </c>
      <c r="K101">
        <f ca="1"/>
        <v>0</v>
      </c>
      <c r="L101">
        <f ca="1"/>
        <v>0</v>
      </c>
      <c r="M101">
        <f ca="1"/>
        <v>0</v>
      </c>
      <c r="N101">
        <f ca="1"/>
        <v>0</v>
      </c>
      <c r="O101">
        <f ca="1"/>
        <v>0</v>
      </c>
      <c r="P101">
        <f ca="1"/>
        <v>0</v>
      </c>
      <c r="Q101">
        <f ca="1"/>
        <v>3</v>
      </c>
      <c r="R101">
        <f ca="1"/>
        <v>0</v>
      </c>
      <c r="S101">
        <f ca="1"/>
        <v>3</v>
      </c>
      <c r="T101" t="str">
        <f t="shared" ca="1" si="19"/>
        <v>CAMB</v>
      </c>
      <c r="AK101" t="s">
        <v>291</v>
      </c>
      <c r="AL101" t="s">
        <v>204</v>
      </c>
      <c r="AM101" s="23">
        <f t="shared" ca="1" si="2"/>
        <v>3</v>
      </c>
      <c r="AN101" s="23"/>
      <c r="AO101" s="23">
        <f t="shared" ca="1" si="3"/>
        <v>10</v>
      </c>
      <c r="AP101" s="23"/>
      <c r="AQ101" s="23">
        <f t="shared" ca="1" si="4"/>
        <v>0</v>
      </c>
      <c r="AR101" s="23"/>
      <c r="AS101" s="23">
        <f t="shared" ca="1" si="5"/>
        <v>0</v>
      </c>
      <c r="AT101" s="23"/>
      <c r="AU101" s="23">
        <f t="shared" ca="1" si="6"/>
        <v>0</v>
      </c>
      <c r="AV101" s="23"/>
      <c r="AW101" s="23">
        <f t="shared" ca="1" si="7"/>
        <v>0</v>
      </c>
      <c r="AX101" s="23"/>
      <c r="AY101" s="23">
        <f t="shared" ca="1" si="8"/>
        <v>0</v>
      </c>
      <c r="AZ101" s="23"/>
      <c r="BA101">
        <f t="shared" ca="1" si="9"/>
        <v>13</v>
      </c>
      <c r="BC101">
        <f t="shared" ca="1" si="10"/>
        <v>13</v>
      </c>
      <c r="BE101" t="s">
        <v>291</v>
      </c>
      <c r="BF101" t="s">
        <v>204</v>
      </c>
      <c r="BG101" s="23">
        <f t="shared" si="11"/>
        <v>0</v>
      </c>
      <c r="BH101" s="23"/>
      <c r="BI101" s="23">
        <f t="shared" si="12"/>
        <v>0</v>
      </c>
      <c r="BJ101" s="23"/>
      <c r="BK101" s="23">
        <f t="shared" si="13"/>
        <v>0</v>
      </c>
      <c r="BL101" s="23"/>
      <c r="BM101" s="23">
        <f t="shared" si="14"/>
        <v>0</v>
      </c>
      <c r="BN101" s="23"/>
      <c r="BO101" s="23">
        <f t="shared" si="15"/>
        <v>0</v>
      </c>
      <c r="BP101" s="23"/>
      <c r="BQ101">
        <f t="shared" si="16"/>
        <v>0</v>
      </c>
      <c r="BS101" s="23">
        <f t="shared" si="17"/>
        <v>0</v>
      </c>
      <c r="BT101" s="23"/>
      <c r="BU101">
        <f t="shared" si="18"/>
        <v>0</v>
      </c>
    </row>
    <row r="102" spans="1:73" x14ac:dyDescent="0.25">
      <c r="A102" t="str">
        <f ca="1"/>
        <v>OUSR - Oxford University Sim Racing</v>
      </c>
      <c r="B102" t="str">
        <f ca="1"/>
        <v>OUSR</v>
      </c>
      <c r="C102">
        <f ca="1"/>
        <v>0</v>
      </c>
      <c r="D102">
        <f ca="1"/>
        <v>0</v>
      </c>
      <c r="E102">
        <f ca="1"/>
        <v>0</v>
      </c>
      <c r="F102">
        <f ca="1"/>
        <v>0</v>
      </c>
      <c r="G102">
        <f ca="1"/>
        <v>0</v>
      </c>
      <c r="H102">
        <f ca="1"/>
        <v>0</v>
      </c>
      <c r="I102">
        <f ca="1"/>
        <v>0</v>
      </c>
      <c r="J102">
        <f ca="1"/>
        <v>0</v>
      </c>
      <c r="K102">
        <f ca="1"/>
        <v>0</v>
      </c>
      <c r="L102">
        <f ca="1"/>
        <v>0</v>
      </c>
      <c r="M102">
        <f ca="1"/>
        <v>0</v>
      </c>
      <c r="N102">
        <f ca="1"/>
        <v>0</v>
      </c>
      <c r="O102">
        <f ca="1"/>
        <v>0</v>
      </c>
      <c r="P102">
        <f ca="1"/>
        <v>0</v>
      </c>
      <c r="Q102">
        <f ca="1"/>
        <v>0</v>
      </c>
      <c r="R102">
        <f ca="1"/>
        <v>0</v>
      </c>
      <c r="S102">
        <f ca="1"/>
        <v>0</v>
      </c>
      <c r="T102" t="str">
        <f t="shared" ca="1" si="19"/>
        <v>OUSR</v>
      </c>
      <c r="AK102" t="s">
        <v>292</v>
      </c>
      <c r="AL102" t="s">
        <v>208</v>
      </c>
      <c r="AM102" s="23">
        <f t="shared" ca="1" si="2"/>
        <v>0</v>
      </c>
      <c r="AN102" s="23"/>
      <c r="AO102" s="23">
        <f t="shared" ca="1" si="3"/>
        <v>13</v>
      </c>
      <c r="AP102" s="23"/>
      <c r="AQ102" s="23">
        <f t="shared" ca="1" si="4"/>
        <v>0</v>
      </c>
      <c r="AR102" s="23"/>
      <c r="AS102" s="23">
        <f t="shared" ca="1" si="5"/>
        <v>0</v>
      </c>
      <c r="AT102" s="23"/>
      <c r="AU102" s="23">
        <f t="shared" ca="1" si="6"/>
        <v>0</v>
      </c>
      <c r="AV102" s="23"/>
      <c r="AW102" s="23">
        <f t="shared" ca="1" si="7"/>
        <v>0</v>
      </c>
      <c r="AX102" s="23"/>
      <c r="AY102" s="23">
        <f t="shared" ca="1" si="8"/>
        <v>0</v>
      </c>
      <c r="AZ102" s="23"/>
      <c r="BA102">
        <f t="shared" ca="1" si="9"/>
        <v>13</v>
      </c>
      <c r="BC102">
        <f t="shared" ca="1" si="10"/>
        <v>13</v>
      </c>
      <c r="BE102" t="s">
        <v>292</v>
      </c>
      <c r="BF102" t="s">
        <v>208</v>
      </c>
      <c r="BG102" s="23">
        <f t="shared" si="11"/>
        <v>0</v>
      </c>
      <c r="BH102" s="23"/>
      <c r="BI102" s="23">
        <f t="shared" si="12"/>
        <v>0</v>
      </c>
      <c r="BJ102" s="23"/>
      <c r="BK102" s="23">
        <f t="shared" si="13"/>
        <v>0</v>
      </c>
      <c r="BL102" s="23"/>
      <c r="BM102" s="23">
        <f t="shared" si="14"/>
        <v>0</v>
      </c>
      <c r="BN102" s="23"/>
      <c r="BO102" s="23">
        <f t="shared" si="15"/>
        <v>0</v>
      </c>
      <c r="BP102" s="23"/>
      <c r="BQ102">
        <f t="shared" si="16"/>
        <v>0</v>
      </c>
      <c r="BS102" s="23">
        <f t="shared" si="17"/>
        <v>0</v>
      </c>
      <c r="BT102" s="23"/>
      <c r="BU102">
        <f t="shared" si="18"/>
        <v>0</v>
      </c>
    </row>
    <row r="103" spans="1:73" x14ac:dyDescent="0.25">
      <c r="A103" t="str">
        <f ca="1"/>
        <v>Lookprabida Formula Student</v>
      </c>
      <c r="B103" t="str">
        <f ca="1"/>
        <v>PSU</v>
      </c>
      <c r="C103">
        <f ca="1"/>
        <v>0</v>
      </c>
      <c r="D103">
        <f ca="1"/>
        <v>0</v>
      </c>
      <c r="E103">
        <f ca="1"/>
        <v>0</v>
      </c>
      <c r="F103">
        <f ca="1"/>
        <v>0</v>
      </c>
      <c r="G103">
        <f ca="1"/>
        <v>0</v>
      </c>
      <c r="H103">
        <f ca="1"/>
        <v>0</v>
      </c>
      <c r="I103">
        <f ca="1"/>
        <v>0</v>
      </c>
      <c r="J103">
        <f ca="1"/>
        <v>0</v>
      </c>
      <c r="K103">
        <f ca="1"/>
        <v>0</v>
      </c>
      <c r="L103">
        <f ca="1"/>
        <v>0</v>
      </c>
      <c r="M103">
        <f ca="1"/>
        <v>0</v>
      </c>
      <c r="N103">
        <f ca="1"/>
        <v>0</v>
      </c>
      <c r="O103">
        <f ca="1"/>
        <v>0</v>
      </c>
      <c r="P103">
        <f ca="1"/>
        <v>0</v>
      </c>
      <c r="Q103">
        <f ca="1"/>
        <v>0</v>
      </c>
      <c r="R103">
        <f ca="1"/>
        <v>0</v>
      </c>
      <c r="S103">
        <f ca="1"/>
        <v>0</v>
      </c>
      <c r="T103" t="str">
        <f t="shared" ca="1" si="19"/>
        <v>PSU</v>
      </c>
      <c r="AK103" t="s">
        <v>293</v>
      </c>
      <c r="AL103" t="s">
        <v>212</v>
      </c>
      <c r="AM103" s="23">
        <f t="shared" ca="1" si="2"/>
        <v>0</v>
      </c>
      <c r="AN103" s="23"/>
      <c r="AO103" s="23">
        <f t="shared" ca="1" si="3"/>
        <v>0</v>
      </c>
      <c r="AP103" s="23"/>
      <c r="AQ103" s="23">
        <f t="shared" ca="1" si="4"/>
        <v>0</v>
      </c>
      <c r="AR103" s="23"/>
      <c r="AS103" s="23">
        <f t="shared" ca="1" si="5"/>
        <v>0</v>
      </c>
      <c r="AT103" s="23"/>
      <c r="AU103" s="23">
        <f t="shared" ca="1" si="6"/>
        <v>0</v>
      </c>
      <c r="AV103" s="23"/>
      <c r="AW103" s="23">
        <f t="shared" ca="1" si="7"/>
        <v>0</v>
      </c>
      <c r="AX103" s="23"/>
      <c r="AY103" s="23">
        <f t="shared" ca="1" si="8"/>
        <v>0</v>
      </c>
      <c r="AZ103" s="23"/>
      <c r="BA103">
        <f t="shared" ca="1" si="9"/>
        <v>0</v>
      </c>
      <c r="BC103">
        <f t="shared" ca="1" si="10"/>
        <v>0</v>
      </c>
      <c r="BE103" t="s">
        <v>293</v>
      </c>
      <c r="BF103" t="s">
        <v>212</v>
      </c>
      <c r="BG103" s="23">
        <f t="shared" si="11"/>
        <v>0</v>
      </c>
      <c r="BH103" s="23"/>
      <c r="BI103" s="23">
        <f t="shared" si="12"/>
        <v>0</v>
      </c>
      <c r="BJ103" s="23"/>
      <c r="BK103" s="23">
        <f t="shared" si="13"/>
        <v>0</v>
      </c>
      <c r="BL103" s="23"/>
      <c r="BM103" s="23">
        <f t="shared" si="14"/>
        <v>0</v>
      </c>
      <c r="BN103" s="23"/>
      <c r="BO103" s="23">
        <f t="shared" si="15"/>
        <v>0</v>
      </c>
      <c r="BP103" s="23"/>
      <c r="BQ103">
        <f t="shared" si="16"/>
        <v>0</v>
      </c>
      <c r="BS103" s="23">
        <f t="shared" si="17"/>
        <v>0</v>
      </c>
      <c r="BT103" s="23"/>
      <c r="BU103">
        <f t="shared" si="18"/>
        <v>0</v>
      </c>
    </row>
    <row r="104" spans="1:73" x14ac:dyDescent="0.25">
      <c r="A104" t="str">
        <f ca="1"/>
        <v>Warwick Racing</v>
      </c>
      <c r="B104" t="str">
        <f ca="1"/>
        <v>WAR</v>
      </c>
      <c r="C104">
        <f ca="1"/>
        <v>0</v>
      </c>
      <c r="D104">
        <f ca="1"/>
        <v>0</v>
      </c>
      <c r="E104">
        <f ca="1"/>
        <v>0</v>
      </c>
      <c r="F104">
        <f ca="1"/>
        <v>0</v>
      </c>
      <c r="G104">
        <f ca="1"/>
        <v>0</v>
      </c>
      <c r="H104">
        <f ca="1"/>
        <v>0</v>
      </c>
      <c r="I104">
        <f ca="1"/>
        <v>0</v>
      </c>
      <c r="J104">
        <f ca="1"/>
        <v>0</v>
      </c>
      <c r="K104">
        <f ca="1"/>
        <v>0</v>
      </c>
      <c r="L104">
        <f ca="1"/>
        <v>0</v>
      </c>
      <c r="M104">
        <f ca="1"/>
        <v>0</v>
      </c>
      <c r="N104">
        <f ca="1"/>
        <v>0</v>
      </c>
      <c r="O104">
        <f ca="1"/>
        <v>0</v>
      </c>
      <c r="P104">
        <f ca="1"/>
        <v>0</v>
      </c>
      <c r="Q104">
        <f ca="1"/>
        <v>0</v>
      </c>
      <c r="R104">
        <f ca="1"/>
        <v>0</v>
      </c>
      <c r="S104">
        <f ca="1"/>
        <v>0</v>
      </c>
      <c r="T104" t="str">
        <f t="shared" ca="1" si="19"/>
        <v>WAR</v>
      </c>
      <c r="AK104" t="s">
        <v>294</v>
      </c>
      <c r="AL104" t="s">
        <v>216</v>
      </c>
      <c r="AM104" s="23">
        <f t="shared" ca="1" si="2"/>
        <v>0</v>
      </c>
      <c r="AN104" s="23"/>
      <c r="AO104" s="23">
        <f t="shared" ca="1" si="3"/>
        <v>0</v>
      </c>
      <c r="AP104" s="23"/>
      <c r="AQ104" s="23">
        <f t="shared" ca="1" si="4"/>
        <v>0</v>
      </c>
      <c r="AR104" s="23"/>
      <c r="AS104" s="23">
        <f t="shared" ca="1" si="5"/>
        <v>0</v>
      </c>
      <c r="AT104" s="23"/>
      <c r="AU104" s="23">
        <f t="shared" ca="1" si="6"/>
        <v>0</v>
      </c>
      <c r="AV104" s="23"/>
      <c r="AW104" s="23">
        <f t="shared" ca="1" si="7"/>
        <v>0</v>
      </c>
      <c r="AX104" s="23"/>
      <c r="AY104" s="23">
        <f t="shared" ca="1" si="8"/>
        <v>0</v>
      </c>
      <c r="AZ104" s="23"/>
      <c r="BA104">
        <f t="shared" ca="1" si="9"/>
        <v>0</v>
      </c>
      <c r="BC104">
        <f t="shared" ca="1" si="10"/>
        <v>0</v>
      </c>
      <c r="BE104" t="s">
        <v>294</v>
      </c>
      <c r="BF104" t="s">
        <v>216</v>
      </c>
      <c r="BG104" s="23">
        <f t="shared" si="11"/>
        <v>0</v>
      </c>
      <c r="BH104" s="23"/>
      <c r="BI104" s="23">
        <f t="shared" si="12"/>
        <v>0</v>
      </c>
      <c r="BJ104" s="23"/>
      <c r="BK104" s="23">
        <f t="shared" si="13"/>
        <v>0</v>
      </c>
      <c r="BL104" s="23"/>
      <c r="BM104" s="23">
        <f t="shared" si="14"/>
        <v>0</v>
      </c>
      <c r="BN104" s="23"/>
      <c r="BO104" s="23">
        <f t="shared" si="15"/>
        <v>0</v>
      </c>
      <c r="BP104" s="23"/>
      <c r="BQ104">
        <f t="shared" si="16"/>
        <v>0</v>
      </c>
      <c r="BS104" s="23">
        <f t="shared" si="17"/>
        <v>0</v>
      </c>
      <c r="BT104" s="23"/>
      <c r="BU104">
        <f t="shared" si="18"/>
        <v>0</v>
      </c>
    </row>
    <row r="105" spans="1:73" x14ac:dyDescent="0.25">
      <c r="A105" t="str">
        <f ca="1"/>
        <v>South Bank Racing</v>
      </c>
      <c r="B105" t="str">
        <f ca="1"/>
        <v>SBANK</v>
      </c>
      <c r="C105">
        <f ca="1"/>
        <v>0</v>
      </c>
      <c r="D105">
        <f ca="1"/>
        <v>0</v>
      </c>
      <c r="E105">
        <f ca="1"/>
        <v>0</v>
      </c>
      <c r="F105">
        <f ca="1"/>
        <v>0</v>
      </c>
      <c r="G105">
        <f ca="1"/>
        <v>0</v>
      </c>
      <c r="H105">
        <f ca="1"/>
        <v>0</v>
      </c>
      <c r="I105">
        <f ca="1"/>
        <v>0</v>
      </c>
      <c r="J105">
        <f ca="1"/>
        <v>0</v>
      </c>
      <c r="K105">
        <f ca="1"/>
        <v>0</v>
      </c>
      <c r="L105">
        <f ca="1"/>
        <v>0</v>
      </c>
      <c r="M105">
        <f ca="1"/>
        <v>0</v>
      </c>
      <c r="N105">
        <f ca="1"/>
        <v>0</v>
      </c>
      <c r="O105">
        <f ca="1"/>
        <v>0</v>
      </c>
      <c r="P105">
        <f ca="1"/>
        <v>0</v>
      </c>
      <c r="Q105">
        <f ca="1"/>
        <v>0</v>
      </c>
      <c r="R105">
        <f ca="1"/>
        <v>0</v>
      </c>
      <c r="S105">
        <f ca="1"/>
        <v>0</v>
      </c>
      <c r="T105" t="str">
        <f t="shared" ca="1" si="19"/>
        <v>SBANK</v>
      </c>
      <c r="AK105" t="s">
        <v>295</v>
      </c>
      <c r="AL105" t="s">
        <v>220</v>
      </c>
      <c r="AM105" s="23">
        <f t="shared" ca="1" si="2"/>
        <v>65</v>
      </c>
      <c r="AN105" s="23"/>
      <c r="AO105" s="23">
        <f t="shared" ca="1" si="3"/>
        <v>71</v>
      </c>
      <c r="AP105" s="23"/>
      <c r="AQ105" s="23">
        <f t="shared" ca="1" si="4"/>
        <v>0</v>
      </c>
      <c r="AR105" s="23"/>
      <c r="AS105" s="23">
        <f t="shared" ca="1" si="5"/>
        <v>0</v>
      </c>
      <c r="AT105" s="23"/>
      <c r="AU105" s="23">
        <f t="shared" ca="1" si="6"/>
        <v>0</v>
      </c>
      <c r="AV105" s="23"/>
      <c r="AW105" s="23">
        <f t="shared" ca="1" si="7"/>
        <v>0</v>
      </c>
      <c r="AX105" s="23"/>
      <c r="AY105" s="23">
        <f t="shared" ca="1" si="8"/>
        <v>0</v>
      </c>
      <c r="AZ105" s="23"/>
      <c r="BA105">
        <f t="shared" ca="1" si="9"/>
        <v>136</v>
      </c>
      <c r="BC105">
        <f t="shared" ca="1" si="10"/>
        <v>136</v>
      </c>
      <c r="BE105" t="s">
        <v>295</v>
      </c>
      <c r="BF105" t="s">
        <v>220</v>
      </c>
      <c r="BG105" s="23">
        <f t="shared" si="11"/>
        <v>0</v>
      </c>
      <c r="BH105" s="23"/>
      <c r="BI105" s="23">
        <f t="shared" si="12"/>
        <v>0</v>
      </c>
      <c r="BJ105" s="23"/>
      <c r="BK105" s="23">
        <f t="shared" si="13"/>
        <v>0</v>
      </c>
      <c r="BL105" s="23"/>
      <c r="BM105" s="23">
        <f t="shared" si="14"/>
        <v>0</v>
      </c>
      <c r="BN105" s="23"/>
      <c r="BO105" s="23">
        <f t="shared" si="15"/>
        <v>0</v>
      </c>
      <c r="BP105" s="23"/>
      <c r="BQ105">
        <f t="shared" si="16"/>
        <v>0</v>
      </c>
      <c r="BS105" s="23">
        <f t="shared" si="17"/>
        <v>0</v>
      </c>
      <c r="BT105" s="23"/>
      <c r="BU105">
        <f t="shared" si="18"/>
        <v>0</v>
      </c>
    </row>
    <row r="106" spans="1:73" x14ac:dyDescent="0.25">
      <c r="A106" t="str">
        <f ca="1"/>
        <v>ULM</v>
      </c>
      <c r="B106" t="str">
        <f ca="1"/>
        <v>LIV</v>
      </c>
      <c r="C106">
        <f ca="1"/>
        <v>0</v>
      </c>
      <c r="D106">
        <f ca="1"/>
        <v>0</v>
      </c>
      <c r="E106">
        <f ca="1"/>
        <v>0</v>
      </c>
      <c r="F106">
        <f ca="1"/>
        <v>0</v>
      </c>
      <c r="G106">
        <f ca="1"/>
        <v>0</v>
      </c>
      <c r="H106">
        <f ca="1"/>
        <v>0</v>
      </c>
      <c r="I106">
        <f ca="1"/>
        <v>0</v>
      </c>
      <c r="J106">
        <f ca="1"/>
        <v>0</v>
      </c>
      <c r="K106">
        <f ca="1"/>
        <v>0</v>
      </c>
      <c r="L106">
        <f ca="1"/>
        <v>0</v>
      </c>
      <c r="M106">
        <f ca="1"/>
        <v>0</v>
      </c>
      <c r="N106">
        <f ca="1"/>
        <v>0</v>
      </c>
      <c r="O106">
        <f ca="1"/>
        <v>0</v>
      </c>
      <c r="P106">
        <f ca="1"/>
        <v>0</v>
      </c>
      <c r="Q106">
        <f ca="1"/>
        <v>0</v>
      </c>
      <c r="R106">
        <f ca="1"/>
        <v>0</v>
      </c>
      <c r="S106">
        <f ca="1"/>
        <v>0</v>
      </c>
      <c r="T106" t="str">
        <f t="shared" ca="1" si="19"/>
        <v>LIV</v>
      </c>
      <c r="AK106" t="s">
        <v>296</v>
      </c>
      <c r="AL106" t="s">
        <v>224</v>
      </c>
      <c r="AM106" s="23">
        <f t="shared" ca="1" si="2"/>
        <v>0</v>
      </c>
      <c r="AN106" s="23"/>
      <c r="AO106" s="23">
        <f t="shared" ca="1" si="3"/>
        <v>0</v>
      </c>
      <c r="AP106" s="23"/>
      <c r="AQ106" s="23">
        <f t="shared" ca="1" si="4"/>
        <v>0</v>
      </c>
      <c r="AR106" s="23"/>
      <c r="AS106" s="23">
        <f t="shared" ca="1" si="5"/>
        <v>0</v>
      </c>
      <c r="AT106" s="23"/>
      <c r="AU106" s="23">
        <f t="shared" ca="1" si="6"/>
        <v>0</v>
      </c>
      <c r="AV106" s="23"/>
      <c r="AW106" s="23">
        <f t="shared" ca="1" si="7"/>
        <v>0</v>
      </c>
      <c r="AX106" s="23"/>
      <c r="AY106" s="23">
        <f t="shared" ca="1" si="8"/>
        <v>0</v>
      </c>
      <c r="AZ106" s="23"/>
      <c r="BA106">
        <f t="shared" ca="1" si="9"/>
        <v>0</v>
      </c>
      <c r="BC106">
        <f t="shared" ca="1" si="10"/>
        <v>0</v>
      </c>
      <c r="BE106" t="s">
        <v>296</v>
      </c>
      <c r="BF106" t="s">
        <v>224</v>
      </c>
      <c r="BG106" s="23">
        <f t="shared" si="11"/>
        <v>0</v>
      </c>
      <c r="BH106" s="23"/>
      <c r="BI106" s="23">
        <f t="shared" si="12"/>
        <v>0</v>
      </c>
      <c r="BJ106" s="23"/>
      <c r="BK106" s="23">
        <f t="shared" si="13"/>
        <v>0</v>
      </c>
      <c r="BL106" s="23"/>
      <c r="BM106" s="23">
        <f t="shared" si="14"/>
        <v>0</v>
      </c>
      <c r="BN106" s="23"/>
      <c r="BO106" s="23">
        <f t="shared" si="15"/>
        <v>0</v>
      </c>
      <c r="BP106" s="23"/>
      <c r="BQ106">
        <f t="shared" si="16"/>
        <v>0</v>
      </c>
      <c r="BS106" s="23">
        <f t="shared" si="17"/>
        <v>0</v>
      </c>
      <c r="BT106" s="23"/>
      <c r="BU106">
        <f t="shared" si="18"/>
        <v>0</v>
      </c>
    </row>
    <row r="107" spans="1:73" x14ac:dyDescent="0.25">
      <c r="A107" t="str">
        <f ca="1"/>
        <v>IP Paris Racing Team</v>
      </c>
      <c r="B107" t="str">
        <f ca="1"/>
        <v>IPPRT</v>
      </c>
      <c r="C107">
        <f ca="1"/>
        <v>0</v>
      </c>
      <c r="D107">
        <f ca="1"/>
        <v>0</v>
      </c>
      <c r="E107">
        <f ca="1"/>
        <v>0</v>
      </c>
      <c r="F107">
        <f ca="1"/>
        <v>0</v>
      </c>
      <c r="G107">
        <f ca="1"/>
        <v>0</v>
      </c>
      <c r="H107">
        <f ca="1"/>
        <v>0</v>
      </c>
      <c r="I107">
        <f ca="1"/>
        <v>0</v>
      </c>
      <c r="J107">
        <f ca="1"/>
        <v>0</v>
      </c>
      <c r="K107">
        <f ca="1"/>
        <v>0</v>
      </c>
      <c r="L107">
        <f ca="1"/>
        <v>0</v>
      </c>
      <c r="M107">
        <f ca="1"/>
        <v>0</v>
      </c>
      <c r="N107">
        <f ca="1"/>
        <v>0</v>
      </c>
      <c r="O107">
        <f ca="1"/>
        <v>0</v>
      </c>
      <c r="P107">
        <f ca="1"/>
        <v>0</v>
      </c>
      <c r="Q107">
        <f ca="1"/>
        <v>0</v>
      </c>
      <c r="R107">
        <f ca="1"/>
        <v>0</v>
      </c>
      <c r="S107">
        <f ca="1"/>
        <v>0</v>
      </c>
      <c r="T107" t="str">
        <f t="shared" ca="1" si="19"/>
        <v>IPPRT</v>
      </c>
      <c r="AK107" t="s">
        <v>297</v>
      </c>
      <c r="AL107" t="s">
        <v>232</v>
      </c>
      <c r="AM107" s="23">
        <f t="shared" ca="1" si="2"/>
        <v>24</v>
      </c>
      <c r="AN107" s="23"/>
      <c r="AO107" s="23">
        <f t="shared" ca="1" si="3"/>
        <v>70</v>
      </c>
      <c r="AP107" s="23"/>
      <c r="AQ107" s="23">
        <f t="shared" ca="1" si="4"/>
        <v>0</v>
      </c>
      <c r="AR107" s="23"/>
      <c r="AS107" s="23">
        <f t="shared" ca="1" si="5"/>
        <v>0</v>
      </c>
      <c r="AT107" s="23"/>
      <c r="AU107" s="23">
        <f t="shared" ca="1" si="6"/>
        <v>0</v>
      </c>
      <c r="AV107" s="23"/>
      <c r="AW107" s="23">
        <f t="shared" ca="1" si="7"/>
        <v>0</v>
      </c>
      <c r="AX107" s="23"/>
      <c r="AY107" s="23">
        <f t="shared" ca="1" si="8"/>
        <v>0</v>
      </c>
      <c r="AZ107" s="23"/>
      <c r="BA107">
        <f t="shared" ca="1" si="9"/>
        <v>94</v>
      </c>
      <c r="BC107">
        <f t="shared" ca="1" si="10"/>
        <v>94</v>
      </c>
      <c r="BE107" t="s">
        <v>297</v>
      </c>
      <c r="BF107" t="s">
        <v>232</v>
      </c>
      <c r="BG107" s="23">
        <f t="shared" si="11"/>
        <v>0</v>
      </c>
      <c r="BH107" s="23"/>
      <c r="BI107" s="23">
        <f t="shared" si="12"/>
        <v>0</v>
      </c>
      <c r="BJ107" s="23"/>
      <c r="BK107" s="23">
        <f t="shared" si="13"/>
        <v>0</v>
      </c>
      <c r="BL107" s="23"/>
      <c r="BM107" s="23">
        <f t="shared" si="14"/>
        <v>0</v>
      </c>
      <c r="BN107" s="23"/>
      <c r="BO107" s="23">
        <f t="shared" si="15"/>
        <v>0</v>
      </c>
      <c r="BP107" s="23"/>
      <c r="BQ107">
        <f t="shared" si="16"/>
        <v>0</v>
      </c>
      <c r="BS107" s="23">
        <f t="shared" si="17"/>
        <v>0</v>
      </c>
      <c r="BT107" s="23"/>
      <c r="BU107">
        <f t="shared" si="18"/>
        <v>0</v>
      </c>
    </row>
    <row r="108" spans="1:73" x14ac:dyDescent="0.25">
      <c r="A108" t="str">
        <f ca="1"/>
        <v>UC Motorsport</v>
      </c>
      <c r="B108" t="str">
        <f ca="1"/>
        <v>CANT</v>
      </c>
      <c r="C108">
        <f ca="1"/>
        <v>0</v>
      </c>
      <c r="D108">
        <f ca="1"/>
        <v>0</v>
      </c>
      <c r="E108">
        <f ca="1"/>
        <v>0</v>
      </c>
      <c r="F108">
        <f ca="1"/>
        <v>0</v>
      </c>
      <c r="G108">
        <f ca="1"/>
        <v>0</v>
      </c>
      <c r="H108">
        <f ca="1"/>
        <v>0</v>
      </c>
      <c r="I108">
        <f ca="1"/>
        <v>0</v>
      </c>
      <c r="J108">
        <f ca="1"/>
        <v>0</v>
      </c>
      <c r="K108">
        <f ca="1"/>
        <v>0</v>
      </c>
      <c r="L108">
        <f ca="1"/>
        <v>0</v>
      </c>
      <c r="M108">
        <f ca="1"/>
        <v>0</v>
      </c>
      <c r="N108">
        <f ca="1"/>
        <v>0</v>
      </c>
      <c r="O108">
        <f ca="1"/>
        <v>0</v>
      </c>
      <c r="P108">
        <f ca="1"/>
        <v>0</v>
      </c>
      <c r="Q108">
        <f ca="1"/>
        <v>0</v>
      </c>
      <c r="R108">
        <f ca="1"/>
        <v>0</v>
      </c>
      <c r="S108">
        <f ca="1"/>
        <v>0</v>
      </c>
      <c r="T108" t="str">
        <f t="shared" ca="1" si="19"/>
        <v>CANT</v>
      </c>
      <c r="AK108" t="s">
        <v>298</v>
      </c>
      <c r="AL108" t="s">
        <v>235</v>
      </c>
      <c r="AM108" s="23">
        <f t="shared" ca="1" si="2"/>
        <v>40</v>
      </c>
      <c r="AN108" s="23"/>
      <c r="AO108" s="23">
        <f t="shared" ca="1" si="3"/>
        <v>30</v>
      </c>
      <c r="AP108" s="23"/>
      <c r="AQ108" s="23">
        <f t="shared" ca="1" si="4"/>
        <v>0</v>
      </c>
      <c r="AR108" s="23"/>
      <c r="AS108" s="23">
        <f t="shared" ca="1" si="5"/>
        <v>0</v>
      </c>
      <c r="AT108" s="23"/>
      <c r="AU108" s="23">
        <f t="shared" ca="1" si="6"/>
        <v>0</v>
      </c>
      <c r="AV108" s="23"/>
      <c r="AW108" s="23">
        <f t="shared" ca="1" si="7"/>
        <v>0</v>
      </c>
      <c r="AX108" s="23"/>
      <c r="AY108" s="23">
        <f t="shared" ca="1" si="8"/>
        <v>0</v>
      </c>
      <c r="AZ108" s="23"/>
      <c r="BA108">
        <f t="shared" ca="1" si="9"/>
        <v>100</v>
      </c>
      <c r="BC108">
        <f t="shared" ca="1" si="10"/>
        <v>100</v>
      </c>
      <c r="BE108" t="s">
        <v>298</v>
      </c>
      <c r="BF108" t="s">
        <v>235</v>
      </c>
      <c r="BG108" s="23">
        <f t="shared" si="11"/>
        <v>30</v>
      </c>
      <c r="BH108" s="23"/>
      <c r="BI108" s="23">
        <f t="shared" si="12"/>
        <v>0</v>
      </c>
      <c r="BJ108" s="23"/>
      <c r="BK108" s="23">
        <f t="shared" si="13"/>
        <v>0</v>
      </c>
      <c r="BL108" s="23"/>
      <c r="BM108" s="23">
        <f t="shared" si="14"/>
        <v>0</v>
      </c>
      <c r="BN108" s="23"/>
      <c r="BO108" s="23">
        <f t="shared" si="15"/>
        <v>0</v>
      </c>
      <c r="BP108" s="23"/>
      <c r="BQ108">
        <f t="shared" si="16"/>
        <v>30</v>
      </c>
      <c r="BS108" s="23">
        <f t="shared" si="17"/>
        <v>0</v>
      </c>
      <c r="BT108" s="23"/>
      <c r="BU108">
        <f t="shared" si="18"/>
        <v>60</v>
      </c>
    </row>
    <row r="109" spans="1:73" x14ac:dyDescent="0.25">
      <c r="A109" t="str">
        <f ca="1"/>
        <v>DMU Racing</v>
      </c>
      <c r="B109" t="str">
        <f ca="1"/>
        <v>DMU</v>
      </c>
      <c r="C109">
        <f ca="1"/>
        <v>0</v>
      </c>
      <c r="D109">
        <f ca="1"/>
        <v>0</v>
      </c>
      <c r="E109">
        <f ca="1"/>
        <v>0</v>
      </c>
      <c r="F109">
        <f ca="1"/>
        <v>0</v>
      </c>
      <c r="G109">
        <f ca="1"/>
        <v>0</v>
      </c>
      <c r="H109">
        <f ca="1"/>
        <v>0</v>
      </c>
      <c r="I109">
        <f ca="1"/>
        <v>0</v>
      </c>
      <c r="J109">
        <f ca="1"/>
        <v>0</v>
      </c>
      <c r="K109">
        <f ca="1"/>
        <v>0</v>
      </c>
      <c r="L109">
        <f ca="1"/>
        <v>0</v>
      </c>
      <c r="M109">
        <f ca="1"/>
        <v>0</v>
      </c>
      <c r="N109">
        <f ca="1"/>
        <v>0</v>
      </c>
      <c r="O109">
        <f ca="1"/>
        <v>0</v>
      </c>
      <c r="P109">
        <f ca="1"/>
        <v>0</v>
      </c>
      <c r="Q109">
        <f ca="1"/>
        <v>0</v>
      </c>
      <c r="R109">
        <f ca="1"/>
        <v>0</v>
      </c>
      <c r="S109">
        <f ca="1"/>
        <v>0</v>
      </c>
      <c r="T109" t="str">
        <f t="shared" ca="1" si="19"/>
        <v>DMU</v>
      </c>
      <c r="AK109" t="s">
        <v>299</v>
      </c>
      <c r="AL109" t="s">
        <v>241</v>
      </c>
      <c r="AM109" s="23">
        <f t="shared" ca="1" si="2"/>
        <v>42</v>
      </c>
      <c r="AN109" s="23"/>
      <c r="AO109" s="23">
        <f t="shared" ca="1" si="3"/>
        <v>0</v>
      </c>
      <c r="AP109" s="23"/>
      <c r="AQ109" s="23">
        <f t="shared" ca="1" si="4"/>
        <v>0</v>
      </c>
      <c r="AR109" s="23"/>
      <c r="AS109" s="23">
        <f t="shared" ca="1" si="5"/>
        <v>0</v>
      </c>
      <c r="AT109" s="23"/>
      <c r="AU109" s="23">
        <f t="shared" ca="1" si="6"/>
        <v>0</v>
      </c>
      <c r="AV109" s="23"/>
      <c r="AW109" s="23">
        <f t="shared" ca="1" si="7"/>
        <v>0</v>
      </c>
      <c r="AX109" s="23"/>
      <c r="AY109" s="23">
        <f t="shared" ca="1" si="8"/>
        <v>0</v>
      </c>
      <c r="AZ109" s="23"/>
      <c r="BA109">
        <f t="shared" ca="1" si="9"/>
        <v>42</v>
      </c>
      <c r="BC109">
        <f t="shared" ca="1" si="10"/>
        <v>42</v>
      </c>
      <c r="BE109" t="s">
        <v>299</v>
      </c>
      <c r="BF109" t="s">
        <v>241</v>
      </c>
      <c r="BG109" s="23">
        <f t="shared" si="11"/>
        <v>0</v>
      </c>
      <c r="BH109" s="23"/>
      <c r="BI109" s="23">
        <f t="shared" si="12"/>
        <v>0</v>
      </c>
      <c r="BJ109" s="23"/>
      <c r="BK109" s="23">
        <f t="shared" si="13"/>
        <v>0</v>
      </c>
      <c r="BL109" s="23"/>
      <c r="BM109" s="23">
        <f t="shared" si="14"/>
        <v>0</v>
      </c>
      <c r="BN109" s="23"/>
      <c r="BO109" s="23">
        <f t="shared" si="15"/>
        <v>0</v>
      </c>
      <c r="BP109" s="23"/>
      <c r="BQ109">
        <f t="shared" si="16"/>
        <v>0</v>
      </c>
      <c r="BS109" s="23">
        <f t="shared" si="17"/>
        <v>0</v>
      </c>
      <c r="BT109" s="23"/>
      <c r="BU109">
        <f t="shared" si="18"/>
        <v>0</v>
      </c>
    </row>
    <row r="110" spans="1:73" x14ac:dyDescent="0.25">
      <c r="A110" t="str">
        <f ca="1"/>
        <v>Zips Racing Electric</v>
      </c>
      <c r="B110" t="str">
        <f ca="1"/>
        <v>ZIPS</v>
      </c>
      <c r="C110">
        <f ca="1"/>
        <v>0</v>
      </c>
      <c r="D110">
        <f ca="1"/>
        <v>0</v>
      </c>
      <c r="E110">
        <f ca="1"/>
        <v>0</v>
      </c>
      <c r="F110">
        <f ca="1"/>
        <v>0</v>
      </c>
      <c r="G110">
        <f ca="1"/>
        <v>0</v>
      </c>
      <c r="H110">
        <f ca="1"/>
        <v>0</v>
      </c>
      <c r="I110">
        <f ca="1"/>
        <v>0</v>
      </c>
      <c r="J110">
        <f ca="1"/>
        <v>0</v>
      </c>
      <c r="K110">
        <f ca="1"/>
        <v>0</v>
      </c>
      <c r="L110">
        <f ca="1"/>
        <v>0</v>
      </c>
      <c r="M110">
        <f ca="1"/>
        <v>0</v>
      </c>
      <c r="N110">
        <f ca="1"/>
        <v>0</v>
      </c>
      <c r="O110">
        <f ca="1"/>
        <v>0</v>
      </c>
      <c r="P110">
        <f ca="1"/>
        <v>0</v>
      </c>
      <c r="Q110">
        <f ca="1"/>
        <v>0</v>
      </c>
      <c r="R110">
        <f ca="1"/>
        <v>0</v>
      </c>
      <c r="S110">
        <f ca="1"/>
        <v>0</v>
      </c>
      <c r="T110" t="str">
        <f t="shared" ca="1" si="19"/>
        <v>ZIPS</v>
      </c>
      <c r="AK110" t="s">
        <v>300</v>
      </c>
      <c r="AL110" t="s">
        <v>246</v>
      </c>
      <c r="AM110" s="23">
        <f t="shared" ca="1" si="2"/>
        <v>38</v>
      </c>
      <c r="AN110" s="23"/>
      <c r="AO110" s="23">
        <f t="shared" ca="1" si="3"/>
        <v>0</v>
      </c>
      <c r="AP110" s="23"/>
      <c r="AQ110" s="23">
        <f t="shared" ca="1" si="4"/>
        <v>0</v>
      </c>
      <c r="AR110" s="23"/>
      <c r="AS110" s="23">
        <f t="shared" ca="1" si="5"/>
        <v>0</v>
      </c>
      <c r="AT110" s="23"/>
      <c r="AU110" s="23">
        <f t="shared" ca="1" si="6"/>
        <v>0</v>
      </c>
      <c r="AV110" s="23"/>
      <c r="AW110" s="23">
        <f t="shared" ca="1" si="7"/>
        <v>0</v>
      </c>
      <c r="AX110" s="23"/>
      <c r="AY110" s="23">
        <f t="shared" ca="1" si="8"/>
        <v>0</v>
      </c>
      <c r="AZ110" s="23"/>
      <c r="BA110">
        <f t="shared" ca="1" si="9"/>
        <v>38</v>
      </c>
      <c r="BC110">
        <f t="shared" ca="1" si="10"/>
        <v>38</v>
      </c>
      <c r="BE110" t="s">
        <v>300</v>
      </c>
      <c r="BF110" t="s">
        <v>246</v>
      </c>
      <c r="BG110" s="23">
        <f t="shared" si="11"/>
        <v>0</v>
      </c>
      <c r="BH110" s="23"/>
      <c r="BI110" s="23">
        <f t="shared" si="12"/>
        <v>0</v>
      </c>
      <c r="BJ110" s="23"/>
      <c r="BK110" s="23">
        <f t="shared" si="13"/>
        <v>0</v>
      </c>
      <c r="BL110" s="23"/>
      <c r="BM110" s="23">
        <f t="shared" si="14"/>
        <v>0</v>
      </c>
      <c r="BN110" s="23"/>
      <c r="BO110" s="23">
        <f t="shared" si="15"/>
        <v>0</v>
      </c>
      <c r="BP110" s="23"/>
      <c r="BQ110">
        <f t="shared" si="16"/>
        <v>0</v>
      </c>
      <c r="BS110" s="23">
        <f t="shared" si="17"/>
        <v>0</v>
      </c>
      <c r="BT110" s="23"/>
      <c r="BU110">
        <f t="shared" si="18"/>
        <v>0</v>
      </c>
    </row>
    <row r="111" spans="1:73" x14ac:dyDescent="0.25">
      <c r="A111" t="str">
        <f ca="1"/>
        <v>Formula IUT</v>
      </c>
      <c r="B111" t="str">
        <f ca="1"/>
        <v>IUT</v>
      </c>
      <c r="C111">
        <f ca="1"/>
        <v>0</v>
      </c>
      <c r="D111">
        <f ca="1"/>
        <v>0</v>
      </c>
      <c r="E111">
        <f ca="1"/>
        <v>0</v>
      </c>
      <c r="F111">
        <f ca="1"/>
        <v>0</v>
      </c>
      <c r="G111">
        <f ca="1"/>
        <v>0</v>
      </c>
      <c r="H111">
        <f ca="1"/>
        <v>0</v>
      </c>
      <c r="I111">
        <f ca="1"/>
        <v>0</v>
      </c>
      <c r="J111">
        <f ca="1"/>
        <v>0</v>
      </c>
      <c r="K111">
        <f ca="1"/>
        <v>0</v>
      </c>
      <c r="L111">
        <f ca="1"/>
        <v>0</v>
      </c>
      <c r="M111">
        <f ca="1"/>
        <v>0</v>
      </c>
      <c r="N111">
        <f ca="1"/>
        <v>0</v>
      </c>
      <c r="O111">
        <f ca="1"/>
        <v>0</v>
      </c>
      <c r="P111">
        <f ca="1"/>
        <v>0</v>
      </c>
      <c r="Q111">
        <f ca="1"/>
        <v>0</v>
      </c>
      <c r="R111">
        <f ca="1"/>
        <v>0</v>
      </c>
      <c r="S111">
        <f ca="1"/>
        <v>0</v>
      </c>
      <c r="T111" t="str">
        <f t="shared" ca="1" si="19"/>
        <v>IUT</v>
      </c>
    </row>
    <row r="112" spans="1:73" x14ac:dyDescent="0.25">
      <c r="A112" t="str">
        <f ca="1"/>
        <v>Team SURTES</v>
      </c>
      <c r="B112" t="str">
        <f ca="1"/>
        <v>SURT</v>
      </c>
      <c r="C112">
        <f ca="1"/>
        <v>0</v>
      </c>
      <c r="D112">
        <f ca="1"/>
        <v>0</v>
      </c>
      <c r="E112">
        <f ca="1"/>
        <v>0</v>
      </c>
      <c r="F112">
        <f ca="1"/>
        <v>0</v>
      </c>
      <c r="G112">
        <f ca="1"/>
        <v>0</v>
      </c>
      <c r="H112">
        <f ca="1"/>
        <v>0</v>
      </c>
      <c r="I112">
        <f ca="1"/>
        <v>0</v>
      </c>
      <c r="J112">
        <f ca="1"/>
        <v>0</v>
      </c>
      <c r="K112">
        <f ca="1"/>
        <v>0</v>
      </c>
      <c r="L112">
        <f ca="1"/>
        <v>0</v>
      </c>
      <c r="M112">
        <f ca="1"/>
        <v>0</v>
      </c>
      <c r="N112">
        <f ca="1"/>
        <v>0</v>
      </c>
      <c r="O112">
        <f ca="1"/>
        <v>0</v>
      </c>
      <c r="P112">
        <f ca="1"/>
        <v>0</v>
      </c>
      <c r="Q112">
        <f ca="1"/>
        <v>0</v>
      </c>
      <c r="R112">
        <f ca="1"/>
        <v>0</v>
      </c>
      <c r="S112">
        <f ca="1"/>
        <v>0</v>
      </c>
      <c r="T112" t="str">
        <f t="shared" ca="1" si="19"/>
        <v>SURT</v>
      </c>
      <c r="AK112" t="str" cm="1">
        <f t="array" aca="1" ref="AK112:BC165" ca="1">_xlfn._xlws.SORT(AK57:BC110,12,-1,FALSE)</f>
        <v>Team Name</v>
      </c>
      <c r="AL112" t="str">
        <f ca="1"/>
        <v>Abrv</v>
      </c>
      <c r="AM112" t="str">
        <f ca="1"/>
        <v>R1</v>
      </c>
      <c r="AN112">
        <f ca="1"/>
        <v>0</v>
      </c>
      <c r="AO112" t="str">
        <f ca="1"/>
        <v>R2</v>
      </c>
      <c r="AP112">
        <f ca="1"/>
        <v>0</v>
      </c>
      <c r="AQ112" t="str">
        <f ca="1"/>
        <v>R3</v>
      </c>
      <c r="AR112">
        <f ca="1"/>
        <v>0</v>
      </c>
      <c r="AS112" t="str">
        <f ca="1"/>
        <v>R4</v>
      </c>
      <c r="AT112">
        <f ca="1"/>
        <v>0</v>
      </c>
      <c r="AU112" t="str">
        <f ca="1"/>
        <v>R5</v>
      </c>
      <c r="AV112">
        <f ca="1"/>
        <v>0</v>
      </c>
      <c r="AW112" t="str">
        <f ca="1"/>
        <v>R6</v>
      </c>
      <c r="AX112">
        <f ca="1"/>
        <v>0</v>
      </c>
      <c r="AY112" t="str">
        <f ca="1"/>
        <v>R7</v>
      </c>
      <c r="AZ112">
        <f ca="1"/>
        <v>0</v>
      </c>
      <c r="BA112" t="str">
        <f ca="1"/>
        <v>Total</v>
      </c>
      <c r="BB112">
        <f ca="1"/>
        <v>0</v>
      </c>
      <c r="BC112" t="str">
        <f ca="1"/>
        <v>Real</v>
      </c>
    </row>
    <row r="113" spans="37:55" x14ac:dyDescent="0.25">
      <c r="AK113" t="str">
        <f ca="1"/>
        <v>UG Racing</v>
      </c>
      <c r="AL113" t="str">
        <f ca="1"/>
        <v>UGRA</v>
      </c>
      <c r="AM113">
        <f ca="1"/>
        <v>36</v>
      </c>
      <c r="AN113">
        <f ca="1"/>
        <v>0</v>
      </c>
      <c r="AO113">
        <f ca="1"/>
        <v>96</v>
      </c>
      <c r="AP113">
        <f ca="1"/>
        <v>0</v>
      </c>
      <c r="AQ113">
        <f ca="1"/>
        <v>0</v>
      </c>
      <c r="AR113">
        <f ca="1"/>
        <v>0</v>
      </c>
      <c r="AS113">
        <f ca="1"/>
        <v>0</v>
      </c>
      <c r="AT113">
        <f ca="1"/>
        <v>0</v>
      </c>
      <c r="AU113">
        <f ca="1"/>
        <v>0</v>
      </c>
      <c r="AV113">
        <f ca="1"/>
        <v>0</v>
      </c>
      <c r="AW113">
        <f ca="1"/>
        <v>0</v>
      </c>
      <c r="AX113">
        <f ca="1"/>
        <v>0</v>
      </c>
      <c r="AY113">
        <f ca="1"/>
        <v>0</v>
      </c>
      <c r="AZ113">
        <f ca="1"/>
        <v>0</v>
      </c>
      <c r="BA113">
        <f ca="1"/>
        <v>182</v>
      </c>
      <c r="BB113">
        <f ca="1"/>
        <v>0</v>
      </c>
      <c r="BC113">
        <f ca="1"/>
        <v>182</v>
      </c>
    </row>
    <row r="114" spans="37:55" x14ac:dyDescent="0.25">
      <c r="AK114" t="str">
        <f ca="1"/>
        <v>SUFST</v>
      </c>
      <c r="AL114" t="str">
        <f ca="1"/>
        <v>STON</v>
      </c>
      <c r="AM114">
        <f ca="1"/>
        <v>63</v>
      </c>
      <c r="AN114">
        <f ca="1"/>
        <v>0</v>
      </c>
      <c r="AO114">
        <f ca="1"/>
        <v>97</v>
      </c>
      <c r="AP114">
        <f ca="1"/>
        <v>0</v>
      </c>
      <c r="AQ114">
        <f ca="1"/>
        <v>0</v>
      </c>
      <c r="AR114">
        <f ca="1"/>
        <v>0</v>
      </c>
      <c r="AS114">
        <f ca="1"/>
        <v>0</v>
      </c>
      <c r="AT114">
        <f ca="1"/>
        <v>0</v>
      </c>
      <c r="AU114">
        <f ca="1"/>
        <v>0</v>
      </c>
      <c r="AV114">
        <f ca="1"/>
        <v>0</v>
      </c>
      <c r="AW114">
        <f ca="1"/>
        <v>0</v>
      </c>
      <c r="AX114">
        <f ca="1"/>
        <v>0</v>
      </c>
      <c r="AY114">
        <f ca="1"/>
        <v>0</v>
      </c>
      <c r="AZ114">
        <f ca="1"/>
        <v>0</v>
      </c>
      <c r="BA114">
        <f ca="1"/>
        <v>205</v>
      </c>
      <c r="BB114">
        <f ca="1"/>
        <v>0</v>
      </c>
      <c r="BC114">
        <f ca="1"/>
        <v>205</v>
      </c>
    </row>
    <row r="115" spans="37:55" x14ac:dyDescent="0.25">
      <c r="AK115" t="str">
        <f ca="1"/>
        <v>HERT</v>
      </c>
      <c r="AL115" t="str">
        <f ca="1"/>
        <v>HULLA</v>
      </c>
      <c r="AM115">
        <f ca="1"/>
        <v>74</v>
      </c>
      <c r="AN115">
        <f ca="1"/>
        <v>0</v>
      </c>
      <c r="AO115">
        <f ca="1"/>
        <v>64</v>
      </c>
      <c r="AP115">
        <f ca="1"/>
        <v>0</v>
      </c>
      <c r="AQ115">
        <f ca="1"/>
        <v>0</v>
      </c>
      <c r="AR115">
        <f ca="1"/>
        <v>0</v>
      </c>
      <c r="AS115">
        <f ca="1"/>
        <v>0</v>
      </c>
      <c r="AT115">
        <f ca="1"/>
        <v>0</v>
      </c>
      <c r="AU115">
        <f ca="1"/>
        <v>0</v>
      </c>
      <c r="AV115">
        <f ca="1"/>
        <v>0</v>
      </c>
      <c r="AW115">
        <f ca="1"/>
        <v>0</v>
      </c>
      <c r="AX115">
        <f ca="1"/>
        <v>0</v>
      </c>
      <c r="AY115">
        <f ca="1"/>
        <v>0</v>
      </c>
      <c r="AZ115">
        <f ca="1"/>
        <v>0</v>
      </c>
      <c r="BA115">
        <f ca="1"/>
        <v>158</v>
      </c>
      <c r="BB115">
        <f ca="1"/>
        <v>0</v>
      </c>
      <c r="BC115">
        <f ca="1"/>
        <v>158</v>
      </c>
    </row>
    <row r="116" spans="37:55" x14ac:dyDescent="0.25">
      <c r="AK116" t="str">
        <f ca="1"/>
        <v>NCME Racing</v>
      </c>
      <c r="AL116" t="str">
        <f ca="1"/>
        <v>NCME</v>
      </c>
      <c r="AM116">
        <f ca="1"/>
        <v>82</v>
      </c>
      <c r="AN116">
        <f ca="1"/>
        <v>0</v>
      </c>
      <c r="AO116">
        <f ca="1"/>
        <v>64</v>
      </c>
      <c r="AP116">
        <f ca="1"/>
        <v>0</v>
      </c>
      <c r="AQ116">
        <f ca="1"/>
        <v>0</v>
      </c>
      <c r="AR116">
        <f ca="1"/>
        <v>0</v>
      </c>
      <c r="AS116">
        <f ca="1"/>
        <v>0</v>
      </c>
      <c r="AT116">
        <f ca="1"/>
        <v>0</v>
      </c>
      <c r="AU116">
        <f ca="1"/>
        <v>0</v>
      </c>
      <c r="AV116">
        <f ca="1"/>
        <v>0</v>
      </c>
      <c r="AW116">
        <f ca="1"/>
        <v>0</v>
      </c>
      <c r="AX116">
        <f ca="1"/>
        <v>0</v>
      </c>
      <c r="AY116">
        <f ca="1"/>
        <v>0</v>
      </c>
      <c r="AZ116">
        <f ca="1"/>
        <v>0</v>
      </c>
      <c r="BA116">
        <f ca="1"/>
        <v>188</v>
      </c>
      <c r="BB116">
        <f ca="1"/>
        <v>0</v>
      </c>
      <c r="BC116">
        <f ca="1"/>
        <v>188</v>
      </c>
    </row>
    <row r="117" spans="37:55" x14ac:dyDescent="0.25">
      <c r="AK117" t="str">
        <f ca="1"/>
        <v>UWTSD Sim Racing Team</v>
      </c>
      <c r="AL117" t="str">
        <f ca="1"/>
        <v>UWTSD</v>
      </c>
      <c r="AM117">
        <f ca="1"/>
        <v>56</v>
      </c>
      <c r="AN117">
        <f ca="1"/>
        <v>0</v>
      </c>
      <c r="AO117">
        <f ca="1"/>
        <v>31</v>
      </c>
      <c r="AP117">
        <f ca="1"/>
        <v>0</v>
      </c>
      <c r="AQ117">
        <f ca="1"/>
        <v>0</v>
      </c>
      <c r="AR117">
        <f ca="1"/>
        <v>0</v>
      </c>
      <c r="AS117">
        <f ca="1"/>
        <v>0</v>
      </c>
      <c r="AT117">
        <f ca="1"/>
        <v>0</v>
      </c>
      <c r="AU117">
        <f ca="1"/>
        <v>0</v>
      </c>
      <c r="AV117">
        <f ca="1"/>
        <v>0</v>
      </c>
      <c r="AW117">
        <f ca="1"/>
        <v>0</v>
      </c>
      <c r="AX117">
        <f ca="1"/>
        <v>0</v>
      </c>
      <c r="AY117">
        <f ca="1"/>
        <v>0</v>
      </c>
      <c r="AZ117">
        <f ca="1"/>
        <v>0</v>
      </c>
      <c r="BA117">
        <f ca="1"/>
        <v>87</v>
      </c>
      <c r="BB117">
        <f ca="1"/>
        <v>0</v>
      </c>
      <c r="BC117">
        <f ca="1"/>
        <v>87</v>
      </c>
    </row>
    <row r="118" spans="37:55" x14ac:dyDescent="0.25">
      <c r="AK118" t="str">
        <f ca="1"/>
        <v>Salford Racing</v>
      </c>
      <c r="AL118" t="str">
        <f ca="1"/>
        <v>SALF</v>
      </c>
      <c r="AM118">
        <f ca="1"/>
        <v>67</v>
      </c>
      <c r="AN118">
        <f ca="1"/>
        <v>0</v>
      </c>
      <c r="AO118">
        <f ca="1"/>
        <v>78</v>
      </c>
      <c r="AP118">
        <f ca="1"/>
        <v>0</v>
      </c>
      <c r="AQ118">
        <f ca="1"/>
        <v>0</v>
      </c>
      <c r="AR118">
        <f ca="1"/>
        <v>0</v>
      </c>
      <c r="AS118">
        <f ca="1"/>
        <v>0</v>
      </c>
      <c r="AT118">
        <f ca="1"/>
        <v>0</v>
      </c>
      <c r="AU118">
        <f ca="1"/>
        <v>0</v>
      </c>
      <c r="AV118">
        <f ca="1"/>
        <v>0</v>
      </c>
      <c r="AW118">
        <f ca="1"/>
        <v>0</v>
      </c>
      <c r="AX118">
        <f ca="1"/>
        <v>0</v>
      </c>
      <c r="AY118">
        <f ca="1"/>
        <v>0</v>
      </c>
      <c r="AZ118">
        <f ca="1"/>
        <v>0</v>
      </c>
      <c r="BA118">
        <f ca="1"/>
        <v>145</v>
      </c>
      <c r="BB118">
        <f ca="1"/>
        <v>0</v>
      </c>
      <c r="BC118">
        <f ca="1"/>
        <v>145</v>
      </c>
    </row>
    <row r="119" spans="37:55" x14ac:dyDescent="0.25">
      <c r="AK119" t="str">
        <f ca="1"/>
        <v>USM</v>
      </c>
      <c r="AL119" t="str">
        <f ca="1"/>
        <v>USM</v>
      </c>
      <c r="AM119">
        <f ca="1"/>
        <v>42</v>
      </c>
      <c r="AN119">
        <f ca="1"/>
        <v>0</v>
      </c>
      <c r="AO119">
        <f ca="1"/>
        <v>0</v>
      </c>
      <c r="AP119">
        <f ca="1"/>
        <v>0</v>
      </c>
      <c r="AQ119">
        <f ca="1"/>
        <v>0</v>
      </c>
      <c r="AR119">
        <f ca="1"/>
        <v>0</v>
      </c>
      <c r="AS119">
        <f ca="1"/>
        <v>0</v>
      </c>
      <c r="AT119">
        <f ca="1"/>
        <v>0</v>
      </c>
      <c r="AU119">
        <f ca="1"/>
        <v>0</v>
      </c>
      <c r="AV119">
        <f ca="1"/>
        <v>0</v>
      </c>
      <c r="AW119">
        <f ca="1"/>
        <v>0</v>
      </c>
      <c r="AX119">
        <f ca="1"/>
        <v>0</v>
      </c>
      <c r="AY119">
        <f ca="1"/>
        <v>0</v>
      </c>
      <c r="AZ119">
        <f ca="1"/>
        <v>0</v>
      </c>
      <c r="BA119">
        <f ca="1"/>
        <v>78</v>
      </c>
      <c r="BB119">
        <f ca="1"/>
        <v>0</v>
      </c>
      <c r="BC119">
        <f ca="1"/>
        <v>78</v>
      </c>
    </row>
    <row r="120" spans="37:55" x14ac:dyDescent="0.25">
      <c r="AK120" t="str">
        <f ca="1"/>
        <v>Cardiff Racing</v>
      </c>
      <c r="AL120" t="str">
        <f ca="1"/>
        <v>CARD</v>
      </c>
      <c r="AM120">
        <f ca="1"/>
        <v>47</v>
      </c>
      <c r="AN120">
        <f ca="1"/>
        <v>0</v>
      </c>
      <c r="AO120">
        <f ca="1"/>
        <v>54</v>
      </c>
      <c r="AP120">
        <f ca="1"/>
        <v>0</v>
      </c>
      <c r="AQ120">
        <f ca="1"/>
        <v>0</v>
      </c>
      <c r="AR120">
        <f ca="1"/>
        <v>0</v>
      </c>
      <c r="AS120">
        <f ca="1"/>
        <v>0</v>
      </c>
      <c r="AT120">
        <f ca="1"/>
        <v>0</v>
      </c>
      <c r="AU120">
        <f ca="1"/>
        <v>0</v>
      </c>
      <c r="AV120">
        <f ca="1"/>
        <v>0</v>
      </c>
      <c r="AW120">
        <f ca="1"/>
        <v>0</v>
      </c>
      <c r="AX120">
        <f ca="1"/>
        <v>0</v>
      </c>
      <c r="AY120">
        <f ca="1"/>
        <v>0</v>
      </c>
      <c r="AZ120">
        <f ca="1"/>
        <v>0</v>
      </c>
      <c r="BA120">
        <f ca="1"/>
        <v>129</v>
      </c>
      <c r="BB120">
        <f ca="1"/>
        <v>0</v>
      </c>
      <c r="BC120">
        <f ca="1"/>
        <v>129</v>
      </c>
    </row>
    <row r="121" spans="37:55" x14ac:dyDescent="0.25">
      <c r="AK121" t="str">
        <f ca="1"/>
        <v>Fuosr mofu Alala Svtau)dent Vitoria</v>
      </c>
      <c r="AL121" t="str">
        <f ca="1"/>
        <v>VIT</v>
      </c>
      <c r="AM121">
        <f ca="1"/>
        <v>22</v>
      </c>
      <c r="AN121">
        <f ca="1"/>
        <v>0</v>
      </c>
      <c r="AO121">
        <f ca="1"/>
        <v>30</v>
      </c>
      <c r="AP121">
        <f ca="1"/>
        <v>0</v>
      </c>
      <c r="AQ121">
        <f ca="1"/>
        <v>0</v>
      </c>
      <c r="AR121">
        <f ca="1"/>
        <v>0</v>
      </c>
      <c r="AS121">
        <f ca="1"/>
        <v>0</v>
      </c>
      <c r="AT121">
        <f ca="1"/>
        <v>0</v>
      </c>
      <c r="AU121">
        <f ca="1"/>
        <v>0</v>
      </c>
      <c r="AV121">
        <f ca="1"/>
        <v>0</v>
      </c>
      <c r="AW121">
        <f ca="1"/>
        <v>0</v>
      </c>
      <c r="AX121">
        <f ca="1"/>
        <v>0</v>
      </c>
      <c r="AY121">
        <f ca="1"/>
        <v>0</v>
      </c>
      <c r="AZ121">
        <f ca="1"/>
        <v>0</v>
      </c>
      <c r="BA121">
        <f ca="1"/>
        <v>52</v>
      </c>
      <c r="BB121">
        <f ca="1"/>
        <v>0</v>
      </c>
      <c r="BC121">
        <f ca="1"/>
        <v>52</v>
      </c>
    </row>
    <row r="122" spans="37:55" x14ac:dyDescent="0.25">
      <c r="AK122" t="str">
        <f ca="1"/>
        <v>ION Racing</v>
      </c>
      <c r="AL122" t="str">
        <f ca="1"/>
        <v>ION</v>
      </c>
      <c r="AM122">
        <f ca="1"/>
        <v>0</v>
      </c>
      <c r="AN122">
        <f ca="1"/>
        <v>0</v>
      </c>
      <c r="AO122">
        <f ca="1"/>
        <v>31</v>
      </c>
      <c r="AP122">
        <f ca="1"/>
        <v>0</v>
      </c>
      <c r="AQ122">
        <f ca="1"/>
        <v>0</v>
      </c>
      <c r="AR122">
        <f ca="1"/>
        <v>0</v>
      </c>
      <c r="AS122">
        <f ca="1"/>
        <v>0</v>
      </c>
      <c r="AT122">
        <f ca="1"/>
        <v>0</v>
      </c>
      <c r="AU122">
        <f ca="1"/>
        <v>0</v>
      </c>
      <c r="AV122">
        <f ca="1"/>
        <v>0</v>
      </c>
      <c r="AW122">
        <f ca="1"/>
        <v>0</v>
      </c>
      <c r="AX122">
        <f ca="1"/>
        <v>0</v>
      </c>
      <c r="AY122">
        <f ca="1"/>
        <v>0</v>
      </c>
      <c r="AZ122">
        <f ca="1"/>
        <v>0</v>
      </c>
      <c r="BA122">
        <f ca="1"/>
        <v>31</v>
      </c>
      <c r="BB122">
        <f ca="1"/>
        <v>0</v>
      </c>
      <c r="BC122">
        <f ca="1"/>
        <v>31</v>
      </c>
    </row>
    <row r="123" spans="37:55" x14ac:dyDescent="0.25">
      <c r="AK123" t="str">
        <f ca="1"/>
        <v>Full Blue Racing</v>
      </c>
      <c r="AL123" t="str">
        <f ca="1"/>
        <v>CAMA</v>
      </c>
      <c r="AM123">
        <f ca="1"/>
        <v>26</v>
      </c>
      <c r="AN123">
        <f ca="1"/>
        <v>0</v>
      </c>
      <c r="AO123">
        <f ca="1"/>
        <v>0</v>
      </c>
      <c r="AP123">
        <f ca="1"/>
        <v>0</v>
      </c>
      <c r="AQ123">
        <f ca="1"/>
        <v>0</v>
      </c>
      <c r="AR123">
        <f ca="1"/>
        <v>0</v>
      </c>
      <c r="AS123">
        <f ca="1"/>
        <v>0</v>
      </c>
      <c r="AT123">
        <f ca="1"/>
        <v>0</v>
      </c>
      <c r="AU123">
        <f ca="1"/>
        <v>0</v>
      </c>
      <c r="AV123">
        <f ca="1"/>
        <v>0</v>
      </c>
      <c r="AW123">
        <f ca="1"/>
        <v>0</v>
      </c>
      <c r="AX123">
        <f ca="1"/>
        <v>0</v>
      </c>
      <c r="AY123">
        <f ca="1"/>
        <v>0</v>
      </c>
      <c r="AZ123">
        <f ca="1"/>
        <v>0</v>
      </c>
      <c r="BA123">
        <f ca="1"/>
        <v>26</v>
      </c>
      <c r="BB123">
        <f ca="1"/>
        <v>0</v>
      </c>
      <c r="BC123">
        <f ca="1"/>
        <v>26</v>
      </c>
    </row>
    <row r="124" spans="37:55" x14ac:dyDescent="0.25">
      <c r="AK124" t="str">
        <f ca="1"/>
        <v>Kingston Racing</v>
      </c>
      <c r="AL124" t="str">
        <f ca="1"/>
        <v>KING</v>
      </c>
      <c r="AM124">
        <f ca="1"/>
        <v>1</v>
      </c>
      <c r="AN124">
        <f ca="1"/>
        <v>0</v>
      </c>
      <c r="AO124">
        <f ca="1"/>
        <v>15</v>
      </c>
      <c r="AP124">
        <f ca="1"/>
        <v>0</v>
      </c>
      <c r="AQ124">
        <f ca="1"/>
        <v>0</v>
      </c>
      <c r="AR124">
        <f ca="1"/>
        <v>0</v>
      </c>
      <c r="AS124">
        <f ca="1"/>
        <v>0</v>
      </c>
      <c r="AT124">
        <f ca="1"/>
        <v>0</v>
      </c>
      <c r="AU124">
        <f ca="1"/>
        <v>0</v>
      </c>
      <c r="AV124">
        <f ca="1"/>
        <v>0</v>
      </c>
      <c r="AW124">
        <f ca="1"/>
        <v>0</v>
      </c>
      <c r="AX124">
        <f ca="1"/>
        <v>0</v>
      </c>
      <c r="AY124">
        <f ca="1"/>
        <v>0</v>
      </c>
      <c r="AZ124">
        <f ca="1"/>
        <v>0</v>
      </c>
      <c r="BA124">
        <f ca="1"/>
        <v>16</v>
      </c>
      <c r="BB124">
        <f ca="1"/>
        <v>0</v>
      </c>
      <c r="BC124">
        <f ca="1"/>
        <v>16</v>
      </c>
    </row>
    <row r="125" spans="37:55" x14ac:dyDescent="0.25">
      <c r="AK125" t="str">
        <f ca="1"/>
        <v>OUSR - Oxford University Sim Racing</v>
      </c>
      <c r="AL125" t="str">
        <f ca="1"/>
        <v>OUSR</v>
      </c>
      <c r="AM125">
        <f ca="1"/>
        <v>0</v>
      </c>
      <c r="AN125">
        <f ca="1"/>
        <v>0</v>
      </c>
      <c r="AO125">
        <f ca="1"/>
        <v>0</v>
      </c>
      <c r="AP125">
        <f ca="1"/>
        <v>0</v>
      </c>
      <c r="AQ125">
        <f ca="1"/>
        <v>0</v>
      </c>
      <c r="AR125">
        <f ca="1"/>
        <v>0</v>
      </c>
      <c r="AS125">
        <f ca="1"/>
        <v>0</v>
      </c>
      <c r="AT125">
        <f ca="1"/>
        <v>0</v>
      </c>
      <c r="AU125">
        <f ca="1"/>
        <v>0</v>
      </c>
      <c r="AV125">
        <f ca="1"/>
        <v>0</v>
      </c>
      <c r="AW125">
        <f ca="1"/>
        <v>0</v>
      </c>
      <c r="AX125">
        <f ca="1"/>
        <v>0</v>
      </c>
      <c r="AY125">
        <f ca="1"/>
        <v>0</v>
      </c>
      <c r="AZ125">
        <f ca="1"/>
        <v>0</v>
      </c>
      <c r="BA125">
        <f ca="1"/>
        <v>0</v>
      </c>
      <c r="BB125">
        <f ca="1"/>
        <v>0</v>
      </c>
      <c r="BC125">
        <f ca="1"/>
        <v>0</v>
      </c>
    </row>
    <row r="126" spans="37:55" x14ac:dyDescent="0.25">
      <c r="AK126" t="str">
        <f ca="1"/>
        <v>Team Aberdeen University (TAU)</v>
      </c>
      <c r="AL126" t="str">
        <f ca="1"/>
        <v>TAU</v>
      </c>
      <c r="AM126">
        <f ca="1"/>
        <v>24</v>
      </c>
      <c r="AN126">
        <f ca="1"/>
        <v>0</v>
      </c>
      <c r="AO126">
        <f ca="1"/>
        <v>31</v>
      </c>
      <c r="AP126">
        <f ca="1"/>
        <v>0</v>
      </c>
      <c r="AQ126">
        <f ca="1"/>
        <v>0</v>
      </c>
      <c r="AR126">
        <f ca="1"/>
        <v>0</v>
      </c>
      <c r="AS126">
        <f ca="1"/>
        <v>0</v>
      </c>
      <c r="AT126">
        <f ca="1"/>
        <v>0</v>
      </c>
      <c r="AU126">
        <f ca="1"/>
        <v>0</v>
      </c>
      <c r="AV126">
        <f ca="1"/>
        <v>0</v>
      </c>
      <c r="AW126">
        <f ca="1"/>
        <v>0</v>
      </c>
      <c r="AX126">
        <f ca="1"/>
        <v>0</v>
      </c>
      <c r="AY126">
        <f ca="1"/>
        <v>0</v>
      </c>
      <c r="AZ126">
        <f ca="1"/>
        <v>0</v>
      </c>
      <c r="BA126">
        <f ca="1"/>
        <v>55</v>
      </c>
      <c r="BB126">
        <f ca="1"/>
        <v>0</v>
      </c>
      <c r="BC126">
        <f ca="1"/>
        <v>55</v>
      </c>
    </row>
    <row r="127" spans="37:55" x14ac:dyDescent="0.25">
      <c r="AK127" t="str">
        <f ca="1"/>
        <v>Lassonde Motorsports</v>
      </c>
      <c r="AL127" t="str">
        <f ca="1"/>
        <v>LASS</v>
      </c>
      <c r="AM127">
        <f ca="1"/>
        <v>25</v>
      </c>
      <c r="AN127">
        <f ca="1"/>
        <v>0</v>
      </c>
      <c r="AO127">
        <f ca="1"/>
        <v>0</v>
      </c>
      <c r="AP127">
        <f ca="1"/>
        <v>0</v>
      </c>
      <c r="AQ127">
        <f ca="1"/>
        <v>0</v>
      </c>
      <c r="AR127">
        <f ca="1"/>
        <v>0</v>
      </c>
      <c r="AS127">
        <f ca="1"/>
        <v>0</v>
      </c>
      <c r="AT127">
        <f ca="1"/>
        <v>0</v>
      </c>
      <c r="AU127">
        <f ca="1"/>
        <v>0</v>
      </c>
      <c r="AV127">
        <f ca="1"/>
        <v>0</v>
      </c>
      <c r="AW127">
        <f ca="1"/>
        <v>0</v>
      </c>
      <c r="AX127">
        <f ca="1"/>
        <v>0</v>
      </c>
      <c r="AY127">
        <f ca="1"/>
        <v>0</v>
      </c>
      <c r="AZ127">
        <f ca="1"/>
        <v>0</v>
      </c>
      <c r="BA127">
        <f ca="1"/>
        <v>25</v>
      </c>
      <c r="BB127">
        <f ca="1"/>
        <v>0</v>
      </c>
      <c r="BC127">
        <f ca="1"/>
        <v>25</v>
      </c>
    </row>
    <row r="128" spans="37:55" x14ac:dyDescent="0.25">
      <c r="AK128" t="str">
        <f ca="1"/>
        <v>Manchester Stinger Motorsports</v>
      </c>
      <c r="AL128" t="str">
        <f ca="1"/>
        <v>MAN</v>
      </c>
      <c r="AM128">
        <f ca="1"/>
        <v>25</v>
      </c>
      <c r="AN128">
        <f ca="1"/>
        <v>0</v>
      </c>
      <c r="AO128">
        <f ca="1"/>
        <v>28</v>
      </c>
      <c r="AP128">
        <f ca="1"/>
        <v>0</v>
      </c>
      <c r="AQ128">
        <f ca="1"/>
        <v>0</v>
      </c>
      <c r="AR128">
        <f ca="1"/>
        <v>0</v>
      </c>
      <c r="AS128">
        <f ca="1"/>
        <v>0</v>
      </c>
      <c r="AT128">
        <f ca="1"/>
        <v>0</v>
      </c>
      <c r="AU128">
        <f ca="1"/>
        <v>0</v>
      </c>
      <c r="AV128">
        <f ca="1"/>
        <v>0</v>
      </c>
      <c r="AW128">
        <f ca="1"/>
        <v>0</v>
      </c>
      <c r="AX128">
        <f ca="1"/>
        <v>0</v>
      </c>
      <c r="AY128">
        <f ca="1"/>
        <v>0</v>
      </c>
      <c r="AZ128">
        <f ca="1"/>
        <v>0</v>
      </c>
      <c r="BA128">
        <f ca="1"/>
        <v>53</v>
      </c>
      <c r="BB128">
        <f ca="1"/>
        <v>0</v>
      </c>
      <c r="BC128">
        <f ca="1"/>
        <v>53</v>
      </c>
    </row>
    <row r="129" spans="37:55" x14ac:dyDescent="0.25">
      <c r="AK129" t="str">
        <f ca="1"/>
        <v>UCL Formula Student</v>
      </c>
      <c r="AL129" t="str">
        <f ca="1"/>
        <v>UCL</v>
      </c>
      <c r="AM129">
        <f ca="1"/>
        <v>15</v>
      </c>
      <c r="AN129">
        <f ca="1"/>
        <v>0</v>
      </c>
      <c r="AO129">
        <f ca="1"/>
        <v>1</v>
      </c>
      <c r="AP129">
        <f ca="1"/>
        <v>0</v>
      </c>
      <c r="AQ129">
        <f ca="1"/>
        <v>0</v>
      </c>
      <c r="AR129">
        <f ca="1"/>
        <v>0</v>
      </c>
      <c r="AS129">
        <f ca="1"/>
        <v>0</v>
      </c>
      <c r="AT129">
        <f ca="1"/>
        <v>0</v>
      </c>
      <c r="AU129">
        <f ca="1"/>
        <v>0</v>
      </c>
      <c r="AV129">
        <f ca="1"/>
        <v>0</v>
      </c>
      <c r="AW129">
        <f ca="1"/>
        <v>0</v>
      </c>
      <c r="AX129">
        <f ca="1"/>
        <v>0</v>
      </c>
      <c r="AY129">
        <f ca="1"/>
        <v>0</v>
      </c>
      <c r="AZ129">
        <f ca="1"/>
        <v>0</v>
      </c>
      <c r="BA129">
        <f ca="1"/>
        <v>54</v>
      </c>
      <c r="BB129">
        <f ca="1"/>
        <v>0</v>
      </c>
      <c r="BC129">
        <f ca="1"/>
        <v>54</v>
      </c>
    </row>
    <row r="130" spans="37:55" x14ac:dyDescent="0.25">
      <c r="AK130" t="str">
        <f ca="1"/>
        <v>Formula Student Team Napier</v>
      </c>
      <c r="AL130" t="str">
        <f ca="1"/>
        <v>FSTN</v>
      </c>
      <c r="AM130">
        <f ca="1"/>
        <v>19</v>
      </c>
      <c r="AN130">
        <f ca="1"/>
        <v>0</v>
      </c>
      <c r="AO130">
        <f ca="1"/>
        <v>6</v>
      </c>
      <c r="AP130">
        <f ca="1"/>
        <v>0</v>
      </c>
      <c r="AQ130">
        <f ca="1"/>
        <v>0</v>
      </c>
      <c r="AR130">
        <f ca="1"/>
        <v>0</v>
      </c>
      <c r="AS130">
        <f ca="1"/>
        <v>0</v>
      </c>
      <c r="AT130">
        <f ca="1"/>
        <v>0</v>
      </c>
      <c r="AU130">
        <f ca="1"/>
        <v>0</v>
      </c>
      <c r="AV130">
        <f ca="1"/>
        <v>0</v>
      </c>
      <c r="AW130">
        <f ca="1"/>
        <v>0</v>
      </c>
      <c r="AX130">
        <f ca="1"/>
        <v>0</v>
      </c>
      <c r="AY130">
        <f ca="1"/>
        <v>0</v>
      </c>
      <c r="AZ130">
        <f ca="1"/>
        <v>0</v>
      </c>
      <c r="BA130">
        <f ca="1"/>
        <v>25</v>
      </c>
      <c r="BB130">
        <f ca="1"/>
        <v>0</v>
      </c>
      <c r="BC130">
        <f ca="1"/>
        <v>25</v>
      </c>
    </row>
    <row r="131" spans="37:55" x14ac:dyDescent="0.25">
      <c r="AK131" t="str">
        <f ca="1"/>
        <v>Jorvik Racing</v>
      </c>
      <c r="AL131" t="str">
        <f ca="1"/>
        <v>YORKA</v>
      </c>
      <c r="AM131">
        <f ca="1"/>
        <v>36</v>
      </c>
      <c r="AN131">
        <f ca="1"/>
        <v>0</v>
      </c>
      <c r="AO131">
        <f ca="1"/>
        <v>21</v>
      </c>
      <c r="AP131">
        <f ca="1"/>
        <v>0</v>
      </c>
      <c r="AQ131">
        <f ca="1"/>
        <v>0</v>
      </c>
      <c r="AR131">
        <f ca="1"/>
        <v>0</v>
      </c>
      <c r="AS131">
        <f ca="1"/>
        <v>0</v>
      </c>
      <c r="AT131">
        <f ca="1"/>
        <v>0</v>
      </c>
      <c r="AU131">
        <f ca="1"/>
        <v>0</v>
      </c>
      <c r="AV131">
        <f ca="1"/>
        <v>0</v>
      </c>
      <c r="AW131">
        <f ca="1"/>
        <v>0</v>
      </c>
      <c r="AX131">
        <f ca="1"/>
        <v>0</v>
      </c>
      <c r="AY131">
        <f ca="1"/>
        <v>0</v>
      </c>
      <c r="AZ131">
        <f ca="1"/>
        <v>0</v>
      </c>
      <c r="BA131">
        <f ca="1"/>
        <v>83</v>
      </c>
      <c r="BB131">
        <f ca="1"/>
        <v>0</v>
      </c>
      <c r="BC131">
        <f ca="1"/>
        <v>83</v>
      </c>
    </row>
    <row r="132" spans="37:55" x14ac:dyDescent="0.25">
      <c r="AK132" t="str">
        <f ca="1"/>
        <v>SHU Racing</v>
      </c>
      <c r="AL132" t="str">
        <f ca="1"/>
        <v>SHU</v>
      </c>
      <c r="AM132">
        <f ca="1"/>
        <v>10</v>
      </c>
      <c r="AN132">
        <f ca="1"/>
        <v>0</v>
      </c>
      <c r="AO132">
        <f ca="1"/>
        <v>4</v>
      </c>
      <c r="AP132">
        <f ca="1"/>
        <v>0</v>
      </c>
      <c r="AQ132">
        <f ca="1"/>
        <v>0</v>
      </c>
      <c r="AR132">
        <f ca="1"/>
        <v>0</v>
      </c>
      <c r="AS132">
        <f ca="1"/>
        <v>0</v>
      </c>
      <c r="AT132">
        <f ca="1"/>
        <v>0</v>
      </c>
      <c r="AU132">
        <f ca="1"/>
        <v>0</v>
      </c>
      <c r="AV132">
        <f ca="1"/>
        <v>0</v>
      </c>
      <c r="AW132">
        <f ca="1"/>
        <v>0</v>
      </c>
      <c r="AX132">
        <f ca="1"/>
        <v>0</v>
      </c>
      <c r="AY132">
        <f ca="1"/>
        <v>0</v>
      </c>
      <c r="AZ132">
        <f ca="1"/>
        <v>0</v>
      </c>
      <c r="BA132">
        <f ca="1"/>
        <v>34</v>
      </c>
      <c r="BB132">
        <f ca="1"/>
        <v>0</v>
      </c>
      <c r="BC132">
        <f ca="1"/>
        <v>34</v>
      </c>
    </row>
    <row r="133" spans="37:55" x14ac:dyDescent="0.25">
      <c r="AK133" t="str">
        <f ca="1"/>
        <v>Staffordshire Uni Racing</v>
      </c>
      <c r="AL133" t="str">
        <f ca="1"/>
        <v>STAF</v>
      </c>
      <c r="AM133">
        <f ca="1"/>
        <v>22</v>
      </c>
      <c r="AN133">
        <f ca="1"/>
        <v>0</v>
      </c>
      <c r="AO133">
        <f ca="1"/>
        <v>44</v>
      </c>
      <c r="AP133">
        <f ca="1"/>
        <v>0</v>
      </c>
      <c r="AQ133">
        <f ca="1"/>
        <v>0</v>
      </c>
      <c r="AR133">
        <f ca="1"/>
        <v>0</v>
      </c>
      <c r="AS133">
        <f ca="1"/>
        <v>0</v>
      </c>
      <c r="AT133">
        <f ca="1"/>
        <v>0</v>
      </c>
      <c r="AU133">
        <f ca="1"/>
        <v>0</v>
      </c>
      <c r="AV133">
        <f ca="1"/>
        <v>0</v>
      </c>
      <c r="AW133">
        <f ca="1"/>
        <v>0</v>
      </c>
      <c r="AX133">
        <f ca="1"/>
        <v>0</v>
      </c>
      <c r="AY133">
        <f ca="1"/>
        <v>0</v>
      </c>
      <c r="AZ133">
        <f ca="1"/>
        <v>0</v>
      </c>
      <c r="BA133">
        <f ca="1"/>
        <v>86</v>
      </c>
      <c r="BB133">
        <f ca="1"/>
        <v>0</v>
      </c>
      <c r="BC133">
        <f ca="1"/>
        <v>86</v>
      </c>
    </row>
    <row r="134" spans="37:55" x14ac:dyDescent="0.25">
      <c r="AK134" t="str">
        <f ca="1"/>
        <v>HWRacing</v>
      </c>
      <c r="AL134" t="str">
        <f ca="1"/>
        <v>HW</v>
      </c>
      <c r="AM134">
        <f ca="1"/>
        <v>16</v>
      </c>
      <c r="AN134">
        <f ca="1"/>
        <v>0</v>
      </c>
      <c r="AO134">
        <f ca="1"/>
        <v>7</v>
      </c>
      <c r="AP134">
        <f ca="1"/>
        <v>0</v>
      </c>
      <c r="AQ134">
        <f ca="1"/>
        <v>0</v>
      </c>
      <c r="AR134">
        <f ca="1"/>
        <v>0</v>
      </c>
      <c r="AS134">
        <f ca="1"/>
        <v>0</v>
      </c>
      <c r="AT134">
        <f ca="1"/>
        <v>0</v>
      </c>
      <c r="AU134">
        <f ca="1"/>
        <v>0</v>
      </c>
      <c r="AV134">
        <f ca="1"/>
        <v>0</v>
      </c>
      <c r="AW134">
        <f ca="1"/>
        <v>0</v>
      </c>
      <c r="AX134">
        <f ca="1"/>
        <v>0</v>
      </c>
      <c r="AY134">
        <f ca="1"/>
        <v>0</v>
      </c>
      <c r="AZ134">
        <f ca="1"/>
        <v>0</v>
      </c>
      <c r="BA134">
        <f ca="1"/>
        <v>23</v>
      </c>
      <c r="BB134">
        <f ca="1"/>
        <v>0</v>
      </c>
      <c r="BC134">
        <f ca="1"/>
        <v>23</v>
      </c>
    </row>
    <row r="135" spans="37:55" x14ac:dyDescent="0.25">
      <c r="AK135" t="str">
        <f ca="1"/>
        <v>HERT B</v>
      </c>
      <c r="AL135" t="str">
        <f ca="1"/>
        <v>HULLB</v>
      </c>
      <c r="AM135">
        <f ca="1"/>
        <v>64</v>
      </c>
      <c r="AN135">
        <f ca="1"/>
        <v>0</v>
      </c>
      <c r="AO135">
        <f ca="1"/>
        <v>15</v>
      </c>
      <c r="AP135">
        <f ca="1"/>
        <v>0</v>
      </c>
      <c r="AQ135">
        <f ca="1"/>
        <v>0</v>
      </c>
      <c r="AR135">
        <f ca="1"/>
        <v>0</v>
      </c>
      <c r="AS135">
        <f ca="1"/>
        <v>0</v>
      </c>
      <c r="AT135">
        <f ca="1"/>
        <v>0</v>
      </c>
      <c r="AU135">
        <f ca="1"/>
        <v>0</v>
      </c>
      <c r="AV135">
        <f ca="1"/>
        <v>0</v>
      </c>
      <c r="AW135">
        <f ca="1"/>
        <v>0</v>
      </c>
      <c r="AX135">
        <f ca="1"/>
        <v>0</v>
      </c>
      <c r="AY135">
        <f ca="1"/>
        <v>0</v>
      </c>
      <c r="AZ135">
        <f ca="1"/>
        <v>0</v>
      </c>
      <c r="BA135">
        <f ca="1"/>
        <v>79</v>
      </c>
      <c r="BB135">
        <f ca="1"/>
        <v>0</v>
      </c>
      <c r="BC135">
        <f ca="1"/>
        <v>79</v>
      </c>
    </row>
    <row r="136" spans="37:55" x14ac:dyDescent="0.25">
      <c r="AK136" t="str">
        <f ca="1"/>
        <v>UPRacing Electric</v>
      </c>
      <c r="AL136" t="str">
        <f ca="1"/>
        <v>UPRE</v>
      </c>
      <c r="AM136">
        <f ca="1"/>
        <v>40</v>
      </c>
      <c r="AN136">
        <f ca="1"/>
        <v>0</v>
      </c>
      <c r="AO136">
        <f ca="1"/>
        <v>37</v>
      </c>
      <c r="AP136">
        <f ca="1"/>
        <v>0</v>
      </c>
      <c r="AQ136">
        <f ca="1"/>
        <v>0</v>
      </c>
      <c r="AR136">
        <f ca="1"/>
        <v>0</v>
      </c>
      <c r="AS136">
        <f ca="1"/>
        <v>0</v>
      </c>
      <c r="AT136">
        <f ca="1"/>
        <v>0</v>
      </c>
      <c r="AU136">
        <f ca="1"/>
        <v>0</v>
      </c>
      <c r="AV136">
        <f ca="1"/>
        <v>0</v>
      </c>
      <c r="AW136">
        <f ca="1"/>
        <v>0</v>
      </c>
      <c r="AX136">
        <f ca="1"/>
        <v>0</v>
      </c>
      <c r="AY136">
        <f ca="1"/>
        <v>0</v>
      </c>
      <c r="AZ136">
        <f ca="1"/>
        <v>0</v>
      </c>
      <c r="BA136">
        <f ca="1"/>
        <v>77</v>
      </c>
      <c r="BB136">
        <f ca="1"/>
        <v>0</v>
      </c>
      <c r="BC136">
        <f ca="1"/>
        <v>77</v>
      </c>
    </row>
    <row r="137" spans="37:55" x14ac:dyDescent="0.25">
      <c r="AK137" t="str">
        <f ca="1"/>
        <v>Lookprabida Formula Student</v>
      </c>
      <c r="AL137" t="str">
        <f ca="1"/>
        <v>PSU</v>
      </c>
      <c r="AM137">
        <f ca="1"/>
        <v>0</v>
      </c>
      <c r="AN137">
        <f ca="1"/>
        <v>0</v>
      </c>
      <c r="AO137">
        <f ca="1"/>
        <v>0</v>
      </c>
      <c r="AP137">
        <f ca="1"/>
        <v>0</v>
      </c>
      <c r="AQ137">
        <f ca="1"/>
        <v>0</v>
      </c>
      <c r="AR137">
        <f ca="1"/>
        <v>0</v>
      </c>
      <c r="AS137">
        <f ca="1"/>
        <v>0</v>
      </c>
      <c r="AT137">
        <f ca="1"/>
        <v>0</v>
      </c>
      <c r="AU137">
        <f ca="1"/>
        <v>0</v>
      </c>
      <c r="AV137">
        <f ca="1"/>
        <v>0</v>
      </c>
      <c r="AW137">
        <f ca="1"/>
        <v>0</v>
      </c>
      <c r="AX137">
        <f ca="1"/>
        <v>0</v>
      </c>
      <c r="AY137">
        <f ca="1"/>
        <v>0</v>
      </c>
      <c r="AZ137">
        <f ca="1"/>
        <v>0</v>
      </c>
      <c r="BA137">
        <f ca="1"/>
        <v>0</v>
      </c>
      <c r="BB137">
        <f ca="1"/>
        <v>0</v>
      </c>
      <c r="BC137">
        <f ca="1"/>
        <v>0</v>
      </c>
    </row>
    <row r="138" spans="37:55" x14ac:dyDescent="0.25">
      <c r="AK138" t="str">
        <f ca="1"/>
        <v>Half Blue Racing</v>
      </c>
      <c r="AL138" t="str">
        <f ca="1"/>
        <v>CAMB</v>
      </c>
      <c r="AM138">
        <f ca="1"/>
        <v>0</v>
      </c>
      <c r="AN138">
        <f ca="1"/>
        <v>0</v>
      </c>
      <c r="AO138">
        <f ca="1"/>
        <v>3</v>
      </c>
      <c r="AP138">
        <f ca="1"/>
        <v>0</v>
      </c>
      <c r="AQ138">
        <f ca="1"/>
        <v>0</v>
      </c>
      <c r="AR138">
        <f ca="1"/>
        <v>0</v>
      </c>
      <c r="AS138">
        <f ca="1"/>
        <v>0</v>
      </c>
      <c r="AT138">
        <f ca="1"/>
        <v>0</v>
      </c>
      <c r="AU138">
        <f ca="1"/>
        <v>0</v>
      </c>
      <c r="AV138">
        <f ca="1"/>
        <v>0</v>
      </c>
      <c r="AW138">
        <f ca="1"/>
        <v>0</v>
      </c>
      <c r="AX138">
        <f ca="1"/>
        <v>0</v>
      </c>
      <c r="AY138">
        <f ca="1"/>
        <v>0</v>
      </c>
      <c r="AZ138">
        <f ca="1"/>
        <v>0</v>
      </c>
      <c r="BA138">
        <f ca="1"/>
        <v>3</v>
      </c>
      <c r="BB138">
        <f ca="1"/>
        <v>0</v>
      </c>
      <c r="BC138">
        <f ca="1"/>
        <v>3</v>
      </c>
    </row>
    <row r="139" spans="37:55" x14ac:dyDescent="0.25">
      <c r="AK139" t="str">
        <f ca="1"/>
        <v>UH Racing</v>
      </c>
      <c r="AL139" t="str">
        <f ca="1"/>
        <v>HERTS</v>
      </c>
      <c r="AM139">
        <f ca="1"/>
        <v>47</v>
      </c>
      <c r="AN139">
        <f ca="1"/>
        <v>0</v>
      </c>
      <c r="AO139">
        <f ca="1"/>
        <v>17</v>
      </c>
      <c r="AP139">
        <f ca="1"/>
        <v>0</v>
      </c>
      <c r="AQ139">
        <f ca="1"/>
        <v>0</v>
      </c>
      <c r="AR139">
        <f ca="1"/>
        <v>0</v>
      </c>
      <c r="AS139">
        <f ca="1"/>
        <v>0</v>
      </c>
      <c r="AT139">
        <f ca="1"/>
        <v>0</v>
      </c>
      <c r="AU139">
        <f ca="1"/>
        <v>0</v>
      </c>
      <c r="AV139">
        <f ca="1"/>
        <v>0</v>
      </c>
      <c r="AW139">
        <f ca="1"/>
        <v>0</v>
      </c>
      <c r="AX139">
        <f ca="1"/>
        <v>0</v>
      </c>
      <c r="AY139">
        <f ca="1"/>
        <v>0</v>
      </c>
      <c r="AZ139">
        <f ca="1"/>
        <v>0</v>
      </c>
      <c r="BA139">
        <f ca="1"/>
        <v>64</v>
      </c>
      <c r="BB139">
        <f ca="1"/>
        <v>0</v>
      </c>
      <c r="BC139">
        <f ca="1"/>
        <v>64</v>
      </c>
    </row>
    <row r="140" spans="37:55" x14ac:dyDescent="0.25">
      <c r="AK140" t="str">
        <f ca="1"/>
        <v>Queen's Formula Racing</v>
      </c>
      <c r="AL140" t="str">
        <f ca="1"/>
        <v>QBEL</v>
      </c>
      <c r="AM140">
        <f ca="1"/>
        <v>0</v>
      </c>
      <c r="AN140">
        <f ca="1"/>
        <v>0</v>
      </c>
      <c r="AO140">
        <f ca="1"/>
        <v>45</v>
      </c>
      <c r="AP140">
        <f ca="1"/>
        <v>0</v>
      </c>
      <c r="AQ140">
        <f ca="1"/>
        <v>0</v>
      </c>
      <c r="AR140">
        <f ca="1"/>
        <v>0</v>
      </c>
      <c r="AS140">
        <f ca="1"/>
        <v>0</v>
      </c>
      <c r="AT140">
        <f ca="1"/>
        <v>0</v>
      </c>
      <c r="AU140">
        <f ca="1"/>
        <v>0</v>
      </c>
      <c r="AV140">
        <f ca="1"/>
        <v>0</v>
      </c>
      <c r="AW140">
        <f ca="1"/>
        <v>0</v>
      </c>
      <c r="AX140">
        <f ca="1"/>
        <v>0</v>
      </c>
      <c r="AY140">
        <f ca="1"/>
        <v>0</v>
      </c>
      <c r="AZ140">
        <f ca="1"/>
        <v>0</v>
      </c>
      <c r="BA140">
        <f ca="1"/>
        <v>45</v>
      </c>
      <c r="BB140">
        <f ca="1"/>
        <v>0</v>
      </c>
      <c r="BC140">
        <f ca="1"/>
        <v>45</v>
      </c>
    </row>
    <row r="141" spans="37:55" x14ac:dyDescent="0.25">
      <c r="AK141" t="str">
        <f ca="1"/>
        <v>Warwick Racing</v>
      </c>
      <c r="AL141" t="str">
        <f ca="1"/>
        <v>WAR</v>
      </c>
      <c r="AM141">
        <f ca="1"/>
        <v>0</v>
      </c>
      <c r="AN141">
        <f ca="1"/>
        <v>0</v>
      </c>
      <c r="AO141">
        <f ca="1"/>
        <v>0</v>
      </c>
      <c r="AP141">
        <f ca="1"/>
        <v>0</v>
      </c>
      <c r="AQ141">
        <f ca="1"/>
        <v>0</v>
      </c>
      <c r="AR141">
        <f ca="1"/>
        <v>0</v>
      </c>
      <c r="AS141">
        <f ca="1"/>
        <v>0</v>
      </c>
      <c r="AT141">
        <f ca="1"/>
        <v>0</v>
      </c>
      <c r="AU141">
        <f ca="1"/>
        <v>0</v>
      </c>
      <c r="AV141">
        <f ca="1"/>
        <v>0</v>
      </c>
      <c r="AW141">
        <f ca="1"/>
        <v>0</v>
      </c>
      <c r="AX141">
        <f ca="1"/>
        <v>0</v>
      </c>
      <c r="AY141">
        <f ca="1"/>
        <v>0</v>
      </c>
      <c r="AZ141">
        <f ca="1"/>
        <v>0</v>
      </c>
      <c r="BA141">
        <f ca="1"/>
        <v>0</v>
      </c>
      <c r="BB141">
        <f ca="1"/>
        <v>0</v>
      </c>
      <c r="BC141">
        <f ca="1"/>
        <v>0</v>
      </c>
    </row>
    <row r="142" spans="37:55" x14ac:dyDescent="0.25">
      <c r="AK142" t="str">
        <f ca="1"/>
        <v>South Bank Racing</v>
      </c>
      <c r="AL142" t="str">
        <f ca="1"/>
        <v>SBANK</v>
      </c>
      <c r="AM142">
        <f ca="1"/>
        <v>0</v>
      </c>
      <c r="AN142">
        <f ca="1"/>
        <v>0</v>
      </c>
      <c r="AO142">
        <f ca="1"/>
        <v>0</v>
      </c>
      <c r="AP142">
        <f ca="1"/>
        <v>0</v>
      </c>
      <c r="AQ142">
        <f ca="1"/>
        <v>0</v>
      </c>
      <c r="AR142">
        <f ca="1"/>
        <v>0</v>
      </c>
      <c r="AS142">
        <f ca="1"/>
        <v>0</v>
      </c>
      <c r="AT142">
        <f ca="1"/>
        <v>0</v>
      </c>
      <c r="AU142">
        <f ca="1"/>
        <v>0</v>
      </c>
      <c r="AV142">
        <f ca="1"/>
        <v>0</v>
      </c>
      <c r="AW142">
        <f ca="1"/>
        <v>0</v>
      </c>
      <c r="AX142">
        <f ca="1"/>
        <v>0</v>
      </c>
      <c r="AY142">
        <f ca="1"/>
        <v>0</v>
      </c>
      <c r="AZ142">
        <f ca="1"/>
        <v>0</v>
      </c>
      <c r="BA142">
        <f ca="1"/>
        <v>0</v>
      </c>
      <c r="BB142">
        <f ca="1"/>
        <v>0</v>
      </c>
      <c r="BC142">
        <f ca="1"/>
        <v>0</v>
      </c>
    </row>
    <row r="143" spans="37:55" x14ac:dyDescent="0.25">
      <c r="AK143" t="str">
        <f ca="1"/>
        <v>UB Racing</v>
      </c>
      <c r="AL143" t="str">
        <f ca="1"/>
        <v>UBR</v>
      </c>
      <c r="AM143">
        <f ca="1"/>
        <v>14</v>
      </c>
      <c r="AN143">
        <f ca="1"/>
        <v>0</v>
      </c>
      <c r="AO143">
        <f ca="1"/>
        <v>32</v>
      </c>
      <c r="AP143">
        <f ca="1"/>
        <v>0</v>
      </c>
      <c r="AQ143">
        <f ca="1"/>
        <v>0</v>
      </c>
      <c r="AR143">
        <f ca="1"/>
        <v>0</v>
      </c>
      <c r="AS143">
        <f ca="1"/>
        <v>0</v>
      </c>
      <c r="AT143">
        <f ca="1"/>
        <v>0</v>
      </c>
      <c r="AU143">
        <f ca="1"/>
        <v>0</v>
      </c>
      <c r="AV143">
        <f ca="1"/>
        <v>0</v>
      </c>
      <c r="AW143">
        <f ca="1"/>
        <v>0</v>
      </c>
      <c r="AX143">
        <f ca="1"/>
        <v>0</v>
      </c>
      <c r="AY143">
        <f ca="1"/>
        <v>0</v>
      </c>
      <c r="AZ143">
        <f ca="1"/>
        <v>0</v>
      </c>
      <c r="BA143">
        <f ca="1"/>
        <v>80</v>
      </c>
      <c r="BB143">
        <f ca="1"/>
        <v>0</v>
      </c>
      <c r="BC143">
        <f ca="1"/>
        <v>80</v>
      </c>
    </row>
    <row r="144" spans="37:55" x14ac:dyDescent="0.25">
      <c r="AK144" t="str">
        <f ca="1"/>
        <v>ULM</v>
      </c>
      <c r="AL144" t="str">
        <f ca="1"/>
        <v>LIV</v>
      </c>
      <c r="AM144">
        <f ca="1"/>
        <v>0</v>
      </c>
      <c r="AN144">
        <f ca="1"/>
        <v>0</v>
      </c>
      <c r="AO144">
        <f ca="1"/>
        <v>0</v>
      </c>
      <c r="AP144">
        <f ca="1"/>
        <v>0</v>
      </c>
      <c r="AQ144">
        <f ca="1"/>
        <v>0</v>
      </c>
      <c r="AR144">
        <f ca="1"/>
        <v>0</v>
      </c>
      <c r="AS144">
        <f ca="1"/>
        <v>0</v>
      </c>
      <c r="AT144">
        <f ca="1"/>
        <v>0</v>
      </c>
      <c r="AU144">
        <f ca="1"/>
        <v>0</v>
      </c>
      <c r="AV144">
        <f ca="1"/>
        <v>0</v>
      </c>
      <c r="AW144">
        <f ca="1"/>
        <v>0</v>
      </c>
      <c r="AX144">
        <f ca="1"/>
        <v>0</v>
      </c>
      <c r="AY144">
        <f ca="1"/>
        <v>0</v>
      </c>
      <c r="AZ144">
        <f ca="1"/>
        <v>0</v>
      </c>
      <c r="BA144">
        <f ca="1"/>
        <v>0</v>
      </c>
      <c r="BB144">
        <f ca="1"/>
        <v>0</v>
      </c>
      <c r="BC144">
        <f ca="1"/>
        <v>0</v>
      </c>
    </row>
    <row r="145" spans="37:55" x14ac:dyDescent="0.25">
      <c r="AK145" t="str">
        <f ca="1"/>
        <v>IP Paris Racing Team</v>
      </c>
      <c r="AL145" t="str">
        <f ca="1"/>
        <v>IPPRT</v>
      </c>
      <c r="AM145">
        <f ca="1"/>
        <v>0</v>
      </c>
      <c r="AN145">
        <f ca="1"/>
        <v>0</v>
      </c>
      <c r="AO145">
        <f ca="1"/>
        <v>0</v>
      </c>
      <c r="AP145">
        <f ca="1"/>
        <v>0</v>
      </c>
      <c r="AQ145">
        <f ca="1"/>
        <v>0</v>
      </c>
      <c r="AR145">
        <f ca="1"/>
        <v>0</v>
      </c>
      <c r="AS145">
        <f ca="1"/>
        <v>0</v>
      </c>
      <c r="AT145">
        <f ca="1"/>
        <v>0</v>
      </c>
      <c r="AU145">
        <f ca="1"/>
        <v>0</v>
      </c>
      <c r="AV145">
        <f ca="1"/>
        <v>0</v>
      </c>
      <c r="AW145">
        <f ca="1"/>
        <v>0</v>
      </c>
      <c r="AX145">
        <f ca="1"/>
        <v>0</v>
      </c>
      <c r="AY145">
        <f ca="1"/>
        <v>0</v>
      </c>
      <c r="AZ145">
        <f ca="1"/>
        <v>0</v>
      </c>
      <c r="BA145">
        <f ca="1"/>
        <v>0</v>
      </c>
      <c r="BB145">
        <f ca="1"/>
        <v>0</v>
      </c>
      <c r="BC145">
        <f ca="1"/>
        <v>0</v>
      </c>
    </row>
    <row r="146" spans="37:55" x14ac:dyDescent="0.25">
      <c r="AK146" t="str">
        <f ca="1"/>
        <v>Jorvik Racing B</v>
      </c>
      <c r="AL146" t="str">
        <f ca="1"/>
        <v>YORKB</v>
      </c>
      <c r="AM146">
        <f ca="1"/>
        <v>7</v>
      </c>
      <c r="AN146">
        <f ca="1"/>
        <v>0</v>
      </c>
      <c r="AO146">
        <f ca="1"/>
        <v>2</v>
      </c>
      <c r="AP146">
        <f ca="1"/>
        <v>0</v>
      </c>
      <c r="AQ146">
        <f ca="1"/>
        <v>0</v>
      </c>
      <c r="AR146">
        <f ca="1"/>
        <v>0</v>
      </c>
      <c r="AS146">
        <f ca="1"/>
        <v>0</v>
      </c>
      <c r="AT146">
        <f ca="1"/>
        <v>0</v>
      </c>
      <c r="AU146">
        <f ca="1"/>
        <v>0</v>
      </c>
      <c r="AV146">
        <f ca="1"/>
        <v>0</v>
      </c>
      <c r="AW146">
        <f ca="1"/>
        <v>0</v>
      </c>
      <c r="AX146">
        <f ca="1"/>
        <v>0</v>
      </c>
      <c r="AY146">
        <f ca="1"/>
        <v>0</v>
      </c>
      <c r="AZ146">
        <f ca="1"/>
        <v>0</v>
      </c>
      <c r="BA146">
        <f ca="1"/>
        <v>9</v>
      </c>
      <c r="BB146">
        <f ca="1"/>
        <v>0</v>
      </c>
      <c r="BC146">
        <f ca="1"/>
        <v>9</v>
      </c>
    </row>
    <row r="147" spans="37:55" x14ac:dyDescent="0.25">
      <c r="AK147" t="str">
        <f ca="1"/>
        <v>UCD Formula Student</v>
      </c>
      <c r="AL147" t="str">
        <f ca="1"/>
        <v>UCD</v>
      </c>
      <c r="AM147">
        <f ca="1"/>
        <v>55</v>
      </c>
      <c r="AN147">
        <f ca="1"/>
        <v>0</v>
      </c>
      <c r="AO147">
        <f ca="1"/>
        <v>47</v>
      </c>
      <c r="AP147">
        <f ca="1"/>
        <v>0</v>
      </c>
      <c r="AQ147">
        <f ca="1"/>
        <v>0</v>
      </c>
      <c r="AR147">
        <f ca="1"/>
        <v>0</v>
      </c>
      <c r="AS147">
        <f ca="1"/>
        <v>0</v>
      </c>
      <c r="AT147">
        <f ca="1"/>
        <v>0</v>
      </c>
      <c r="AU147">
        <f ca="1"/>
        <v>0</v>
      </c>
      <c r="AV147">
        <f ca="1"/>
        <v>0</v>
      </c>
      <c r="AW147">
        <f ca="1"/>
        <v>0</v>
      </c>
      <c r="AX147">
        <f ca="1"/>
        <v>0</v>
      </c>
      <c r="AY147">
        <f ca="1"/>
        <v>0</v>
      </c>
      <c r="AZ147">
        <f ca="1"/>
        <v>0</v>
      </c>
      <c r="BA147">
        <f ca="1"/>
        <v>142</v>
      </c>
      <c r="BB147">
        <f ca="1"/>
        <v>0</v>
      </c>
      <c r="BC147">
        <f ca="1"/>
        <v>142</v>
      </c>
    </row>
    <row r="148" spans="37:55" x14ac:dyDescent="0.25">
      <c r="AK148" t="str">
        <f ca="1"/>
        <v>MTU Formula Student</v>
      </c>
      <c r="AL148" t="str">
        <f ca="1"/>
        <v>MTU</v>
      </c>
      <c r="AM148">
        <f ca="1"/>
        <v>33</v>
      </c>
      <c r="AN148">
        <f ca="1"/>
        <v>0</v>
      </c>
      <c r="AO148">
        <f ca="1"/>
        <v>50</v>
      </c>
      <c r="AP148">
        <f ca="1"/>
        <v>0</v>
      </c>
      <c r="AQ148">
        <f ca="1"/>
        <v>0</v>
      </c>
      <c r="AR148">
        <f ca="1"/>
        <v>0</v>
      </c>
      <c r="AS148">
        <f ca="1"/>
        <v>0</v>
      </c>
      <c r="AT148">
        <f ca="1"/>
        <v>0</v>
      </c>
      <c r="AU148">
        <f ca="1"/>
        <v>0</v>
      </c>
      <c r="AV148">
        <f ca="1"/>
        <v>0</v>
      </c>
      <c r="AW148">
        <f ca="1"/>
        <v>0</v>
      </c>
      <c r="AX148">
        <f ca="1"/>
        <v>0</v>
      </c>
      <c r="AY148">
        <f ca="1"/>
        <v>0</v>
      </c>
      <c r="AZ148">
        <f ca="1"/>
        <v>0</v>
      </c>
      <c r="BA148">
        <f ca="1"/>
        <v>103</v>
      </c>
      <c r="BB148">
        <f ca="1"/>
        <v>0</v>
      </c>
      <c r="BC148">
        <f ca="1"/>
        <v>103</v>
      </c>
    </row>
    <row r="149" spans="37:55" x14ac:dyDescent="0.25">
      <c r="AK149" t="str">
        <f ca="1"/>
        <v>PolyU E-Formula Racing Team</v>
      </c>
      <c r="AL149" t="str">
        <f ca="1"/>
        <v>POLYU</v>
      </c>
      <c r="AM149">
        <f ca="1"/>
        <v>24</v>
      </c>
      <c r="AN149">
        <f ca="1"/>
        <v>0</v>
      </c>
      <c r="AO149">
        <f ca="1"/>
        <v>37</v>
      </c>
      <c r="AP149">
        <f ca="1"/>
        <v>0</v>
      </c>
      <c r="AQ149">
        <f ca="1"/>
        <v>0</v>
      </c>
      <c r="AR149">
        <f ca="1"/>
        <v>0</v>
      </c>
      <c r="AS149">
        <f ca="1"/>
        <v>0</v>
      </c>
      <c r="AT149">
        <f ca="1"/>
        <v>0</v>
      </c>
      <c r="AU149">
        <f ca="1"/>
        <v>0</v>
      </c>
      <c r="AV149">
        <f ca="1"/>
        <v>0</v>
      </c>
      <c r="AW149">
        <f ca="1"/>
        <v>0</v>
      </c>
      <c r="AX149">
        <f ca="1"/>
        <v>0</v>
      </c>
      <c r="AY149">
        <f ca="1"/>
        <v>0</v>
      </c>
      <c r="AZ149">
        <f ca="1"/>
        <v>0</v>
      </c>
      <c r="BA149">
        <f ca="1"/>
        <v>61</v>
      </c>
      <c r="BB149">
        <f ca="1"/>
        <v>0</v>
      </c>
      <c r="BC149">
        <f ca="1"/>
        <v>61</v>
      </c>
    </row>
    <row r="150" spans="37:55" x14ac:dyDescent="0.25">
      <c r="AK150" t="str">
        <f ca="1"/>
        <v>XRacing Exeter</v>
      </c>
      <c r="AL150" t="str">
        <f ca="1"/>
        <v>EXET</v>
      </c>
      <c r="AM150">
        <f ca="1"/>
        <v>44</v>
      </c>
      <c r="AN150">
        <f ca="1"/>
        <v>0</v>
      </c>
      <c r="AO150">
        <f ca="1"/>
        <v>44</v>
      </c>
      <c r="AP150">
        <f ca="1"/>
        <v>0</v>
      </c>
      <c r="AQ150">
        <f ca="1"/>
        <v>0</v>
      </c>
      <c r="AR150">
        <f ca="1"/>
        <v>0</v>
      </c>
      <c r="AS150">
        <f ca="1"/>
        <v>0</v>
      </c>
      <c r="AT150">
        <f ca="1"/>
        <v>0</v>
      </c>
      <c r="AU150">
        <f ca="1"/>
        <v>0</v>
      </c>
      <c r="AV150">
        <f ca="1"/>
        <v>0</v>
      </c>
      <c r="AW150">
        <f ca="1"/>
        <v>0</v>
      </c>
      <c r="AX150">
        <f ca="1"/>
        <v>0</v>
      </c>
      <c r="AY150">
        <f ca="1"/>
        <v>0</v>
      </c>
      <c r="AZ150">
        <f ca="1"/>
        <v>0</v>
      </c>
      <c r="BA150">
        <f ca="1"/>
        <v>88</v>
      </c>
      <c r="BB150">
        <f ca="1"/>
        <v>0</v>
      </c>
      <c r="BC150">
        <f ca="1"/>
        <v>88</v>
      </c>
    </row>
    <row r="151" spans="37:55" x14ac:dyDescent="0.25">
      <c r="AK151" t="str">
        <f ca="1"/>
        <v>UC Motorsport</v>
      </c>
      <c r="AL151" t="str">
        <f ca="1"/>
        <v>CANT</v>
      </c>
      <c r="AM151">
        <f ca="1"/>
        <v>0</v>
      </c>
      <c r="AN151">
        <f ca="1"/>
        <v>0</v>
      </c>
      <c r="AO151">
        <f ca="1"/>
        <v>0</v>
      </c>
      <c r="AP151">
        <f ca="1"/>
        <v>0</v>
      </c>
      <c r="AQ151">
        <f ca="1"/>
        <v>0</v>
      </c>
      <c r="AR151">
        <f ca="1"/>
        <v>0</v>
      </c>
      <c r="AS151">
        <f ca="1"/>
        <v>0</v>
      </c>
      <c r="AT151">
        <f ca="1"/>
        <v>0</v>
      </c>
      <c r="AU151">
        <f ca="1"/>
        <v>0</v>
      </c>
      <c r="AV151">
        <f ca="1"/>
        <v>0</v>
      </c>
      <c r="AW151">
        <f ca="1"/>
        <v>0</v>
      </c>
      <c r="AX151">
        <f ca="1"/>
        <v>0</v>
      </c>
      <c r="AY151">
        <f ca="1"/>
        <v>0</v>
      </c>
      <c r="AZ151">
        <f ca="1"/>
        <v>0</v>
      </c>
      <c r="BA151">
        <f ca="1"/>
        <v>0</v>
      </c>
      <c r="BB151">
        <f ca="1"/>
        <v>0</v>
      </c>
      <c r="BC151">
        <f ca="1"/>
        <v>0</v>
      </c>
    </row>
    <row r="152" spans="37:55" x14ac:dyDescent="0.25">
      <c r="AK152" t="str">
        <f ca="1"/>
        <v>UVigo Motorsport</v>
      </c>
      <c r="AL152" t="str">
        <f ca="1"/>
        <v>VIGO</v>
      </c>
      <c r="AM152">
        <f ca="1"/>
        <v>96</v>
      </c>
      <c r="AN152">
        <f ca="1"/>
        <v>0</v>
      </c>
      <c r="AO152">
        <f ca="1"/>
        <v>51</v>
      </c>
      <c r="AP152">
        <f ca="1"/>
        <v>0</v>
      </c>
      <c r="AQ152">
        <f ca="1"/>
        <v>0</v>
      </c>
      <c r="AR152">
        <f ca="1"/>
        <v>0</v>
      </c>
      <c r="AS152">
        <f ca="1"/>
        <v>0</v>
      </c>
      <c r="AT152">
        <f ca="1"/>
        <v>0</v>
      </c>
      <c r="AU152">
        <f ca="1"/>
        <v>0</v>
      </c>
      <c r="AV152">
        <f ca="1"/>
        <v>0</v>
      </c>
      <c r="AW152">
        <f ca="1"/>
        <v>0</v>
      </c>
      <c r="AX152">
        <f ca="1"/>
        <v>0</v>
      </c>
      <c r="AY152">
        <f ca="1"/>
        <v>0</v>
      </c>
      <c r="AZ152">
        <f ca="1"/>
        <v>0</v>
      </c>
      <c r="BA152">
        <f ca="1"/>
        <v>179</v>
      </c>
      <c r="BB152">
        <f ca="1"/>
        <v>0</v>
      </c>
      <c r="BC152">
        <f ca="1"/>
        <v>179</v>
      </c>
    </row>
    <row r="153" spans="37:55" x14ac:dyDescent="0.25">
      <c r="AK153" t="str">
        <f ca="1"/>
        <v>oRgeyd Bird Racing</v>
      </c>
      <c r="AL153" t="str">
        <f ca="1"/>
        <v>RBRT</v>
      </c>
      <c r="AM153">
        <f ca="1"/>
        <v>47</v>
      </c>
      <c r="AN153">
        <f ca="1"/>
        <v>0</v>
      </c>
      <c r="AO153">
        <f ca="1"/>
        <v>42</v>
      </c>
      <c r="AP153">
        <f ca="1"/>
        <v>0</v>
      </c>
      <c r="AQ153">
        <f ca="1"/>
        <v>0</v>
      </c>
      <c r="AR153">
        <f ca="1"/>
        <v>0</v>
      </c>
      <c r="AS153">
        <f ca="1"/>
        <v>0</v>
      </c>
      <c r="AT153">
        <f ca="1"/>
        <v>0</v>
      </c>
      <c r="AU153">
        <f ca="1"/>
        <v>0</v>
      </c>
      <c r="AV153">
        <f ca="1"/>
        <v>0</v>
      </c>
      <c r="AW153">
        <f ca="1"/>
        <v>0</v>
      </c>
      <c r="AX153">
        <f ca="1"/>
        <v>0</v>
      </c>
      <c r="AY153">
        <f ca="1"/>
        <v>0</v>
      </c>
      <c r="AZ153">
        <f ca="1"/>
        <v>0</v>
      </c>
      <c r="BA153">
        <f ca="1"/>
        <v>109</v>
      </c>
      <c r="BB153">
        <f ca="1"/>
        <v>0</v>
      </c>
      <c r="BC153">
        <f ca="1"/>
        <v>109</v>
      </c>
    </row>
    <row r="154" spans="37:55" x14ac:dyDescent="0.25">
      <c r="AK154" t="str">
        <f ca="1"/>
        <v>DMU Racing</v>
      </c>
      <c r="AL154" t="str">
        <f ca="1"/>
        <v>DMU</v>
      </c>
      <c r="AM154">
        <f ca="1"/>
        <v>0</v>
      </c>
      <c r="AN154">
        <f ca="1"/>
        <v>0</v>
      </c>
      <c r="AO154">
        <f ca="1"/>
        <v>0</v>
      </c>
      <c r="AP154">
        <f ca="1"/>
        <v>0</v>
      </c>
      <c r="AQ154">
        <f ca="1"/>
        <v>0</v>
      </c>
      <c r="AR154">
        <f ca="1"/>
        <v>0</v>
      </c>
      <c r="AS154">
        <f ca="1"/>
        <v>0</v>
      </c>
      <c r="AT154">
        <f ca="1"/>
        <v>0</v>
      </c>
      <c r="AU154">
        <f ca="1"/>
        <v>0</v>
      </c>
      <c r="AV154">
        <f ca="1"/>
        <v>0</v>
      </c>
      <c r="AW154">
        <f ca="1"/>
        <v>0</v>
      </c>
      <c r="AX154">
        <f ca="1"/>
        <v>0</v>
      </c>
      <c r="AY154">
        <f ca="1"/>
        <v>0</v>
      </c>
      <c r="AZ154">
        <f ca="1"/>
        <v>0</v>
      </c>
      <c r="BA154">
        <f ca="1"/>
        <v>0</v>
      </c>
      <c r="BB154">
        <f ca="1"/>
        <v>0</v>
      </c>
      <c r="BC154">
        <f ca="1"/>
        <v>0</v>
      </c>
    </row>
    <row r="155" spans="37:55" x14ac:dyDescent="0.25">
      <c r="AK155" t="str">
        <f ca="1"/>
        <v>Team Bath Racing Electric</v>
      </c>
      <c r="AL155" t="str">
        <f ca="1"/>
        <v>BATH</v>
      </c>
      <c r="AM155">
        <f ca="1"/>
        <v>60</v>
      </c>
      <c r="AN155">
        <f ca="1"/>
        <v>0</v>
      </c>
      <c r="AO155">
        <f ca="1"/>
        <v>64</v>
      </c>
      <c r="AP155">
        <f ca="1"/>
        <v>0</v>
      </c>
      <c r="AQ155">
        <f ca="1"/>
        <v>0</v>
      </c>
      <c r="AR155">
        <f ca="1"/>
        <v>0</v>
      </c>
      <c r="AS155">
        <f ca="1"/>
        <v>0</v>
      </c>
      <c r="AT155">
        <f ca="1"/>
        <v>0</v>
      </c>
      <c r="AU155">
        <f ca="1"/>
        <v>0</v>
      </c>
      <c r="AV155">
        <f ca="1"/>
        <v>0</v>
      </c>
      <c r="AW155">
        <f ca="1"/>
        <v>0</v>
      </c>
      <c r="AX155">
        <f ca="1"/>
        <v>0</v>
      </c>
      <c r="AY155">
        <f ca="1"/>
        <v>0</v>
      </c>
      <c r="AZ155">
        <f ca="1"/>
        <v>0</v>
      </c>
      <c r="BA155">
        <f ca="1"/>
        <v>124</v>
      </c>
      <c r="BB155">
        <f ca="1"/>
        <v>0</v>
      </c>
      <c r="BC155">
        <f ca="1"/>
        <v>124</v>
      </c>
    </row>
    <row r="156" spans="37:55" x14ac:dyDescent="0.25">
      <c r="AK156" t="str">
        <f ca="1"/>
        <v>NTU Racing</v>
      </c>
      <c r="AL156" t="str">
        <f ca="1"/>
        <v>NTU</v>
      </c>
      <c r="AM156">
        <f ca="1"/>
        <v>3</v>
      </c>
      <c r="AN156">
        <f ca="1"/>
        <v>0</v>
      </c>
      <c r="AO156">
        <f ca="1"/>
        <v>10</v>
      </c>
      <c r="AP156">
        <f ca="1"/>
        <v>0</v>
      </c>
      <c r="AQ156">
        <f ca="1"/>
        <v>0</v>
      </c>
      <c r="AR156">
        <f ca="1"/>
        <v>0</v>
      </c>
      <c r="AS156">
        <f ca="1"/>
        <v>0</v>
      </c>
      <c r="AT156">
        <f ca="1"/>
        <v>0</v>
      </c>
      <c r="AU156">
        <f ca="1"/>
        <v>0</v>
      </c>
      <c r="AV156">
        <f ca="1"/>
        <v>0</v>
      </c>
      <c r="AW156">
        <f ca="1"/>
        <v>0</v>
      </c>
      <c r="AX156">
        <f ca="1"/>
        <v>0</v>
      </c>
      <c r="AY156">
        <f ca="1"/>
        <v>0</v>
      </c>
      <c r="AZ156">
        <f ca="1"/>
        <v>0</v>
      </c>
      <c r="BA156">
        <f ca="1"/>
        <v>13</v>
      </c>
      <c r="BB156">
        <f ca="1"/>
        <v>0</v>
      </c>
      <c r="BC156">
        <f ca="1"/>
        <v>13</v>
      </c>
    </row>
    <row r="157" spans="37:55" x14ac:dyDescent="0.25">
      <c r="AK157" t="str">
        <f ca="1"/>
        <v>UG Racing B</v>
      </c>
      <c r="AL157" t="str">
        <f ca="1"/>
        <v>UGRB</v>
      </c>
      <c r="AM157">
        <f ca="1"/>
        <v>0</v>
      </c>
      <c r="AN157">
        <f ca="1"/>
        <v>0</v>
      </c>
      <c r="AO157">
        <f ca="1"/>
        <v>13</v>
      </c>
      <c r="AP157">
        <f ca="1"/>
        <v>0</v>
      </c>
      <c r="AQ157">
        <f ca="1"/>
        <v>0</v>
      </c>
      <c r="AR157">
        <f ca="1"/>
        <v>0</v>
      </c>
      <c r="AS157">
        <f ca="1"/>
        <v>0</v>
      </c>
      <c r="AT157">
        <f ca="1"/>
        <v>0</v>
      </c>
      <c r="AU157">
        <f ca="1"/>
        <v>0</v>
      </c>
      <c r="AV157">
        <f ca="1"/>
        <v>0</v>
      </c>
      <c r="AW157">
        <f ca="1"/>
        <v>0</v>
      </c>
      <c r="AX157">
        <f ca="1"/>
        <v>0</v>
      </c>
      <c r="AY157">
        <f ca="1"/>
        <v>0</v>
      </c>
      <c r="AZ157">
        <f ca="1"/>
        <v>0</v>
      </c>
      <c r="BA157">
        <f ca="1"/>
        <v>13</v>
      </c>
      <c r="BB157">
        <f ca="1"/>
        <v>0</v>
      </c>
      <c r="BC157">
        <f ca="1"/>
        <v>13</v>
      </c>
    </row>
    <row r="158" spans="37:55" x14ac:dyDescent="0.25">
      <c r="AK158" t="str">
        <f ca="1"/>
        <v>Zips Racing Electric</v>
      </c>
      <c r="AL158" t="str">
        <f ca="1"/>
        <v>ZIPS</v>
      </c>
      <c r="AM158">
        <f ca="1"/>
        <v>0</v>
      </c>
      <c r="AN158">
        <f ca="1"/>
        <v>0</v>
      </c>
      <c r="AO158">
        <f ca="1"/>
        <v>0</v>
      </c>
      <c r="AP158">
        <f ca="1"/>
        <v>0</v>
      </c>
      <c r="AQ158">
        <f ca="1"/>
        <v>0</v>
      </c>
      <c r="AR158">
        <f ca="1"/>
        <v>0</v>
      </c>
      <c r="AS158">
        <f ca="1"/>
        <v>0</v>
      </c>
      <c r="AT158">
        <f ca="1"/>
        <v>0</v>
      </c>
      <c r="AU158">
        <f ca="1"/>
        <v>0</v>
      </c>
      <c r="AV158">
        <f ca="1"/>
        <v>0</v>
      </c>
      <c r="AW158">
        <f ca="1"/>
        <v>0</v>
      </c>
      <c r="AX158">
        <f ca="1"/>
        <v>0</v>
      </c>
      <c r="AY158">
        <f ca="1"/>
        <v>0</v>
      </c>
      <c r="AZ158">
        <f ca="1"/>
        <v>0</v>
      </c>
      <c r="BA158">
        <f ca="1"/>
        <v>0</v>
      </c>
      <c r="BB158">
        <f ca="1"/>
        <v>0</v>
      </c>
      <c r="BC158">
        <f ca="1"/>
        <v>0</v>
      </c>
    </row>
    <row r="159" spans="37:55" x14ac:dyDescent="0.25">
      <c r="AK159" t="str">
        <f ca="1"/>
        <v>Formula IUT</v>
      </c>
      <c r="AL159" t="str">
        <f ca="1"/>
        <v>IUT</v>
      </c>
      <c r="AM159">
        <f ca="1"/>
        <v>0</v>
      </c>
      <c r="AN159">
        <f ca="1"/>
        <v>0</v>
      </c>
      <c r="AO159">
        <f ca="1"/>
        <v>0</v>
      </c>
      <c r="AP159">
        <f ca="1"/>
        <v>0</v>
      </c>
      <c r="AQ159">
        <f ca="1"/>
        <v>0</v>
      </c>
      <c r="AR159">
        <f ca="1"/>
        <v>0</v>
      </c>
      <c r="AS159">
        <f ca="1"/>
        <v>0</v>
      </c>
      <c r="AT159">
        <f ca="1"/>
        <v>0</v>
      </c>
      <c r="AU159">
        <f ca="1"/>
        <v>0</v>
      </c>
      <c r="AV159">
        <f ca="1"/>
        <v>0</v>
      </c>
      <c r="AW159">
        <f ca="1"/>
        <v>0</v>
      </c>
      <c r="AX159">
        <f ca="1"/>
        <v>0</v>
      </c>
      <c r="AY159">
        <f ca="1"/>
        <v>0</v>
      </c>
      <c r="AZ159">
        <f ca="1"/>
        <v>0</v>
      </c>
      <c r="BA159">
        <f ca="1"/>
        <v>0</v>
      </c>
      <c r="BB159">
        <f ca="1"/>
        <v>0</v>
      </c>
      <c r="BC159">
        <f ca="1"/>
        <v>0</v>
      </c>
    </row>
    <row r="160" spans="37:55" x14ac:dyDescent="0.25">
      <c r="AK160" t="str">
        <f ca="1"/>
        <v>UPRacing Alternative Fuel</v>
      </c>
      <c r="AL160" t="str">
        <f ca="1"/>
        <v>UPRAF</v>
      </c>
      <c r="AM160">
        <f ca="1"/>
        <v>65</v>
      </c>
      <c r="AN160">
        <f ca="1"/>
        <v>0</v>
      </c>
      <c r="AO160">
        <f ca="1"/>
        <v>71</v>
      </c>
      <c r="AP160">
        <f ca="1"/>
        <v>0</v>
      </c>
      <c r="AQ160">
        <f ca="1"/>
        <v>0</v>
      </c>
      <c r="AR160">
        <f ca="1"/>
        <v>0</v>
      </c>
      <c r="AS160">
        <f ca="1"/>
        <v>0</v>
      </c>
      <c r="AT160">
        <f ca="1"/>
        <v>0</v>
      </c>
      <c r="AU160">
        <f ca="1"/>
        <v>0</v>
      </c>
      <c r="AV160">
        <f ca="1"/>
        <v>0</v>
      </c>
      <c r="AW160">
        <f ca="1"/>
        <v>0</v>
      </c>
      <c r="AX160">
        <f ca="1"/>
        <v>0</v>
      </c>
      <c r="AY160">
        <f ca="1"/>
        <v>0</v>
      </c>
      <c r="AZ160">
        <f ca="1"/>
        <v>0</v>
      </c>
      <c r="BA160">
        <f ca="1"/>
        <v>136</v>
      </c>
      <c r="BB160">
        <f ca="1"/>
        <v>0</v>
      </c>
      <c r="BC160">
        <f ca="1"/>
        <v>136</v>
      </c>
    </row>
    <row r="161" spans="37:55" x14ac:dyDescent="0.25">
      <c r="AK161" t="str">
        <f ca="1"/>
        <v>Team SURTES</v>
      </c>
      <c r="AL161" t="str">
        <f ca="1"/>
        <v>SURT</v>
      </c>
      <c r="AM161">
        <f ca="1"/>
        <v>0</v>
      </c>
      <c r="AN161">
        <f ca="1"/>
        <v>0</v>
      </c>
      <c r="AO161">
        <f ca="1"/>
        <v>0</v>
      </c>
      <c r="AP161">
        <f ca="1"/>
        <v>0</v>
      </c>
      <c r="AQ161">
        <f ca="1"/>
        <v>0</v>
      </c>
      <c r="AR161">
        <f ca="1"/>
        <v>0</v>
      </c>
      <c r="AS161">
        <f ca="1"/>
        <v>0</v>
      </c>
      <c r="AT161">
        <f ca="1"/>
        <v>0</v>
      </c>
      <c r="AU161">
        <f ca="1"/>
        <v>0</v>
      </c>
      <c r="AV161">
        <f ca="1"/>
        <v>0</v>
      </c>
      <c r="AW161">
        <f ca="1"/>
        <v>0</v>
      </c>
      <c r="AX161">
        <f ca="1"/>
        <v>0</v>
      </c>
      <c r="AY161">
        <f ca="1"/>
        <v>0</v>
      </c>
      <c r="AZ161">
        <f ca="1"/>
        <v>0</v>
      </c>
      <c r="BA161">
        <f ca="1"/>
        <v>0</v>
      </c>
      <c r="BB161">
        <f ca="1"/>
        <v>0</v>
      </c>
      <c r="BC161">
        <f ca="1"/>
        <v>0</v>
      </c>
    </row>
    <row r="162" spans="37:55" x14ac:dyDescent="0.25">
      <c r="AK162" t="str">
        <f ca="1"/>
        <v>LJMU e-Racing</v>
      </c>
      <c r="AL162" t="str">
        <f ca="1"/>
        <v>LJMU</v>
      </c>
      <c r="AM162">
        <f ca="1"/>
        <v>24</v>
      </c>
      <c r="AN162">
        <f ca="1"/>
        <v>0</v>
      </c>
      <c r="AO162">
        <f ca="1"/>
        <v>70</v>
      </c>
      <c r="AP162">
        <f ca="1"/>
        <v>0</v>
      </c>
      <c r="AQ162">
        <f ca="1"/>
        <v>0</v>
      </c>
      <c r="AR162">
        <f ca="1"/>
        <v>0</v>
      </c>
      <c r="AS162">
        <f ca="1"/>
        <v>0</v>
      </c>
      <c r="AT162">
        <f ca="1"/>
        <v>0</v>
      </c>
      <c r="AU162">
        <f ca="1"/>
        <v>0</v>
      </c>
      <c r="AV162">
        <f ca="1"/>
        <v>0</v>
      </c>
      <c r="AW162">
        <f ca="1"/>
        <v>0</v>
      </c>
      <c r="AX162">
        <f ca="1"/>
        <v>0</v>
      </c>
      <c r="AY162">
        <f ca="1"/>
        <v>0</v>
      </c>
      <c r="AZ162">
        <f ca="1"/>
        <v>0</v>
      </c>
      <c r="BA162">
        <f ca="1"/>
        <v>94</v>
      </c>
      <c r="BB162">
        <f ca="1"/>
        <v>0</v>
      </c>
      <c r="BC162">
        <f ca="1"/>
        <v>94</v>
      </c>
    </row>
    <row r="163" spans="37:55" x14ac:dyDescent="0.25">
      <c r="AK163" t="str">
        <f ca="1"/>
        <v>Queen Mary Formula Student</v>
      </c>
      <c r="AL163" t="str">
        <f ca="1"/>
        <v>QMFS</v>
      </c>
      <c r="AM163">
        <f ca="1"/>
        <v>40</v>
      </c>
      <c r="AN163">
        <f ca="1"/>
        <v>0</v>
      </c>
      <c r="AO163">
        <f ca="1"/>
        <v>30</v>
      </c>
      <c r="AP163">
        <f ca="1"/>
        <v>0</v>
      </c>
      <c r="AQ163">
        <f ca="1"/>
        <v>0</v>
      </c>
      <c r="AR163">
        <f ca="1"/>
        <v>0</v>
      </c>
      <c r="AS163">
        <f ca="1"/>
        <v>0</v>
      </c>
      <c r="AT163">
        <f ca="1"/>
        <v>0</v>
      </c>
      <c r="AU163">
        <f ca="1"/>
        <v>0</v>
      </c>
      <c r="AV163">
        <f ca="1"/>
        <v>0</v>
      </c>
      <c r="AW163">
        <f ca="1"/>
        <v>0</v>
      </c>
      <c r="AX163">
        <f ca="1"/>
        <v>0</v>
      </c>
      <c r="AY163">
        <f ca="1"/>
        <v>0</v>
      </c>
      <c r="AZ163">
        <f ca="1"/>
        <v>0</v>
      </c>
      <c r="BA163">
        <f ca="1"/>
        <v>100</v>
      </c>
      <c r="BB163">
        <f ca="1"/>
        <v>0</v>
      </c>
      <c r="BC163">
        <f ca="1"/>
        <v>100</v>
      </c>
    </row>
    <row r="164" spans="37:55" x14ac:dyDescent="0.25">
      <c r="AK164" t="str">
        <f ca="1"/>
        <v>HKU Racing</v>
      </c>
      <c r="AL164" t="str">
        <f ca="1"/>
        <v>HKU</v>
      </c>
      <c r="AM164">
        <f ca="1"/>
        <v>42</v>
      </c>
      <c r="AN164">
        <f ca="1"/>
        <v>0</v>
      </c>
      <c r="AO164">
        <f ca="1"/>
        <v>0</v>
      </c>
      <c r="AP164">
        <f ca="1"/>
        <v>0</v>
      </c>
      <c r="AQ164">
        <f ca="1"/>
        <v>0</v>
      </c>
      <c r="AR164">
        <f ca="1"/>
        <v>0</v>
      </c>
      <c r="AS164">
        <f ca="1"/>
        <v>0</v>
      </c>
      <c r="AT164">
        <f ca="1"/>
        <v>0</v>
      </c>
      <c r="AU164">
        <f ca="1"/>
        <v>0</v>
      </c>
      <c r="AV164">
        <f ca="1"/>
        <v>0</v>
      </c>
      <c r="AW164">
        <f ca="1"/>
        <v>0</v>
      </c>
      <c r="AX164">
        <f ca="1"/>
        <v>0</v>
      </c>
      <c r="AY164">
        <f ca="1"/>
        <v>0</v>
      </c>
      <c r="AZ164">
        <f ca="1"/>
        <v>0</v>
      </c>
      <c r="BA164">
        <f ca="1"/>
        <v>42</v>
      </c>
      <c r="BB164">
        <f ca="1"/>
        <v>0</v>
      </c>
      <c r="BC164">
        <f ca="1"/>
        <v>42</v>
      </c>
    </row>
    <row r="165" spans="37:55" x14ac:dyDescent="0.25">
      <c r="AK165" t="str">
        <f ca="1"/>
        <v>Proton Dynamic</v>
      </c>
      <c r="AL165" t="str">
        <f ca="1"/>
        <v>PROT</v>
      </c>
      <c r="AM165">
        <f ca="1"/>
        <v>38</v>
      </c>
      <c r="AN165">
        <f ca="1"/>
        <v>0</v>
      </c>
      <c r="AO165">
        <f ca="1"/>
        <v>0</v>
      </c>
      <c r="AP165">
        <f ca="1"/>
        <v>0</v>
      </c>
      <c r="AQ165">
        <f ca="1"/>
        <v>0</v>
      </c>
      <c r="AR165">
        <f ca="1"/>
        <v>0</v>
      </c>
      <c r="AS165">
        <f ca="1"/>
        <v>0</v>
      </c>
      <c r="AT165">
        <f ca="1"/>
        <v>0</v>
      </c>
      <c r="AU165">
        <f ca="1"/>
        <v>0</v>
      </c>
      <c r="AV165">
        <f ca="1"/>
        <v>0</v>
      </c>
      <c r="AW165">
        <f ca="1"/>
        <v>0</v>
      </c>
      <c r="AX165">
        <f ca="1"/>
        <v>0</v>
      </c>
      <c r="AY165">
        <f ca="1"/>
        <v>0</v>
      </c>
      <c r="AZ165">
        <f ca="1"/>
        <v>0</v>
      </c>
      <c r="BA165">
        <f ca="1"/>
        <v>38</v>
      </c>
      <c r="BB165">
        <f ca="1"/>
        <v>0</v>
      </c>
      <c r="BC165">
        <f ca="1"/>
        <v>38</v>
      </c>
    </row>
  </sheetData>
  <mergeCells count="709">
    <mergeCell ref="U1:V1"/>
    <mergeCell ref="D1:E1"/>
    <mergeCell ref="G1:H1"/>
    <mergeCell ref="I1:J1"/>
    <mergeCell ref="L1:M1"/>
    <mergeCell ref="O1:P1"/>
    <mergeCell ref="R1:S1"/>
    <mergeCell ref="BS109:BT109"/>
    <mergeCell ref="BG110:BH110"/>
    <mergeCell ref="BI110:BJ110"/>
    <mergeCell ref="BK110:BL110"/>
    <mergeCell ref="BM110:BN110"/>
    <mergeCell ref="BO110:BP110"/>
    <mergeCell ref="BS110:BT110"/>
    <mergeCell ref="BG109:BH109"/>
    <mergeCell ref="BI109:BJ109"/>
    <mergeCell ref="BK109:BL109"/>
    <mergeCell ref="BM109:BN109"/>
    <mergeCell ref="BO109:BP109"/>
    <mergeCell ref="BS107:BT107"/>
    <mergeCell ref="BG108:BH108"/>
    <mergeCell ref="BI108:BJ108"/>
    <mergeCell ref="BK108:BL108"/>
    <mergeCell ref="BM108:BN108"/>
    <mergeCell ref="BO108:BP108"/>
    <mergeCell ref="BS108:BT108"/>
    <mergeCell ref="BG107:BH107"/>
    <mergeCell ref="BI107:BJ107"/>
    <mergeCell ref="BK107:BL107"/>
    <mergeCell ref="BM107:BN107"/>
    <mergeCell ref="BO107:BP107"/>
    <mergeCell ref="BS105:BT105"/>
    <mergeCell ref="BG106:BH106"/>
    <mergeCell ref="BI106:BJ106"/>
    <mergeCell ref="BK106:BL106"/>
    <mergeCell ref="BM106:BN106"/>
    <mergeCell ref="BO106:BP106"/>
    <mergeCell ref="BS106:BT106"/>
    <mergeCell ref="BG105:BH105"/>
    <mergeCell ref="BI105:BJ105"/>
    <mergeCell ref="BK105:BL105"/>
    <mergeCell ref="BM105:BN105"/>
    <mergeCell ref="BO105:BP105"/>
    <mergeCell ref="BS103:BT103"/>
    <mergeCell ref="BG104:BH104"/>
    <mergeCell ref="BI104:BJ104"/>
    <mergeCell ref="BK104:BL104"/>
    <mergeCell ref="BM104:BN104"/>
    <mergeCell ref="BO104:BP104"/>
    <mergeCell ref="BS104:BT104"/>
    <mergeCell ref="BG103:BH103"/>
    <mergeCell ref="BI103:BJ103"/>
    <mergeCell ref="BK103:BL103"/>
    <mergeCell ref="BM103:BN103"/>
    <mergeCell ref="BO103:BP103"/>
    <mergeCell ref="BS101:BT101"/>
    <mergeCell ref="BG102:BH102"/>
    <mergeCell ref="BI102:BJ102"/>
    <mergeCell ref="BK102:BL102"/>
    <mergeCell ref="BM102:BN102"/>
    <mergeCell ref="BO102:BP102"/>
    <mergeCell ref="BS102:BT102"/>
    <mergeCell ref="BG101:BH101"/>
    <mergeCell ref="BI101:BJ101"/>
    <mergeCell ref="BK101:BL101"/>
    <mergeCell ref="BM101:BN101"/>
    <mergeCell ref="BO101:BP101"/>
    <mergeCell ref="BS99:BT99"/>
    <mergeCell ref="BG100:BH100"/>
    <mergeCell ref="BI100:BJ100"/>
    <mergeCell ref="BK100:BL100"/>
    <mergeCell ref="BM100:BN100"/>
    <mergeCell ref="BO100:BP100"/>
    <mergeCell ref="BS100:BT100"/>
    <mergeCell ref="BG99:BH99"/>
    <mergeCell ref="BI99:BJ99"/>
    <mergeCell ref="BK99:BL99"/>
    <mergeCell ref="BM99:BN99"/>
    <mergeCell ref="BO99:BP99"/>
    <mergeCell ref="BS97:BT97"/>
    <mergeCell ref="BG98:BH98"/>
    <mergeCell ref="BI98:BJ98"/>
    <mergeCell ref="BK98:BL98"/>
    <mergeCell ref="BM98:BN98"/>
    <mergeCell ref="BO98:BP98"/>
    <mergeCell ref="BS98:BT98"/>
    <mergeCell ref="BG97:BH97"/>
    <mergeCell ref="BI97:BJ97"/>
    <mergeCell ref="BK97:BL97"/>
    <mergeCell ref="BM97:BN97"/>
    <mergeCell ref="BO97:BP97"/>
    <mergeCell ref="BS95:BT95"/>
    <mergeCell ref="BG96:BH96"/>
    <mergeCell ref="BI96:BJ96"/>
    <mergeCell ref="BK96:BL96"/>
    <mergeCell ref="BM96:BN96"/>
    <mergeCell ref="BO96:BP96"/>
    <mergeCell ref="BS96:BT96"/>
    <mergeCell ref="BG95:BH95"/>
    <mergeCell ref="BI95:BJ95"/>
    <mergeCell ref="BK95:BL95"/>
    <mergeCell ref="BM95:BN95"/>
    <mergeCell ref="BO95:BP95"/>
    <mergeCell ref="BS93:BT93"/>
    <mergeCell ref="BG94:BH94"/>
    <mergeCell ref="BI94:BJ94"/>
    <mergeCell ref="BK94:BL94"/>
    <mergeCell ref="BM94:BN94"/>
    <mergeCell ref="BO94:BP94"/>
    <mergeCell ref="BS94:BT94"/>
    <mergeCell ref="BG93:BH93"/>
    <mergeCell ref="BI93:BJ93"/>
    <mergeCell ref="BK93:BL93"/>
    <mergeCell ref="BM93:BN93"/>
    <mergeCell ref="BO93:BP93"/>
    <mergeCell ref="BS91:BT91"/>
    <mergeCell ref="BG92:BH92"/>
    <mergeCell ref="BI92:BJ92"/>
    <mergeCell ref="BK92:BL92"/>
    <mergeCell ref="BM92:BN92"/>
    <mergeCell ref="BO92:BP92"/>
    <mergeCell ref="BS92:BT92"/>
    <mergeCell ref="BG91:BH91"/>
    <mergeCell ref="BI91:BJ91"/>
    <mergeCell ref="BK91:BL91"/>
    <mergeCell ref="BM91:BN91"/>
    <mergeCell ref="BO91:BP91"/>
    <mergeCell ref="BS89:BT89"/>
    <mergeCell ref="BG90:BH90"/>
    <mergeCell ref="BI90:BJ90"/>
    <mergeCell ref="BK90:BL90"/>
    <mergeCell ref="BM90:BN90"/>
    <mergeCell ref="BO90:BP90"/>
    <mergeCell ref="BS90:BT90"/>
    <mergeCell ref="BG89:BH89"/>
    <mergeCell ref="BI89:BJ89"/>
    <mergeCell ref="BK89:BL89"/>
    <mergeCell ref="BM89:BN89"/>
    <mergeCell ref="BO89:BP89"/>
    <mergeCell ref="BS87:BT87"/>
    <mergeCell ref="BG88:BH88"/>
    <mergeCell ref="BI88:BJ88"/>
    <mergeCell ref="BK88:BL88"/>
    <mergeCell ref="BM88:BN88"/>
    <mergeCell ref="BO88:BP88"/>
    <mergeCell ref="BS88:BT88"/>
    <mergeCell ref="BG87:BH87"/>
    <mergeCell ref="BI87:BJ87"/>
    <mergeCell ref="BK87:BL87"/>
    <mergeCell ref="BM87:BN87"/>
    <mergeCell ref="BO87:BP87"/>
    <mergeCell ref="BS85:BT85"/>
    <mergeCell ref="BG86:BH86"/>
    <mergeCell ref="BI86:BJ86"/>
    <mergeCell ref="BK86:BL86"/>
    <mergeCell ref="BM86:BN86"/>
    <mergeCell ref="BO86:BP86"/>
    <mergeCell ref="BS86:BT86"/>
    <mergeCell ref="BG85:BH85"/>
    <mergeCell ref="BI85:BJ85"/>
    <mergeCell ref="BK85:BL85"/>
    <mergeCell ref="BM85:BN85"/>
    <mergeCell ref="BO85:BP85"/>
    <mergeCell ref="BS83:BT83"/>
    <mergeCell ref="BG84:BH84"/>
    <mergeCell ref="BI84:BJ84"/>
    <mergeCell ref="BK84:BL84"/>
    <mergeCell ref="BM84:BN84"/>
    <mergeCell ref="BO84:BP84"/>
    <mergeCell ref="BS84:BT84"/>
    <mergeCell ref="BG83:BH83"/>
    <mergeCell ref="BI83:BJ83"/>
    <mergeCell ref="BK83:BL83"/>
    <mergeCell ref="BM83:BN83"/>
    <mergeCell ref="BO83:BP83"/>
    <mergeCell ref="BS81:BT81"/>
    <mergeCell ref="BG82:BH82"/>
    <mergeCell ref="BI82:BJ82"/>
    <mergeCell ref="BK82:BL82"/>
    <mergeCell ref="BM82:BN82"/>
    <mergeCell ref="BO82:BP82"/>
    <mergeCell ref="BS82:BT82"/>
    <mergeCell ref="BG81:BH81"/>
    <mergeCell ref="BI81:BJ81"/>
    <mergeCell ref="BK81:BL81"/>
    <mergeCell ref="BM81:BN81"/>
    <mergeCell ref="BO81:BP81"/>
    <mergeCell ref="BS79:BT79"/>
    <mergeCell ref="BG80:BH80"/>
    <mergeCell ref="BI80:BJ80"/>
    <mergeCell ref="BK80:BL80"/>
    <mergeCell ref="BM80:BN80"/>
    <mergeCell ref="BO80:BP80"/>
    <mergeCell ref="BS80:BT80"/>
    <mergeCell ref="BG79:BH79"/>
    <mergeCell ref="BI79:BJ79"/>
    <mergeCell ref="BK79:BL79"/>
    <mergeCell ref="BM79:BN79"/>
    <mergeCell ref="BO79:BP79"/>
    <mergeCell ref="BS77:BT77"/>
    <mergeCell ref="BG78:BH78"/>
    <mergeCell ref="BI78:BJ78"/>
    <mergeCell ref="BK78:BL78"/>
    <mergeCell ref="BM78:BN78"/>
    <mergeCell ref="BO78:BP78"/>
    <mergeCell ref="BS78:BT78"/>
    <mergeCell ref="BG77:BH77"/>
    <mergeCell ref="BI77:BJ77"/>
    <mergeCell ref="BK77:BL77"/>
    <mergeCell ref="BM77:BN77"/>
    <mergeCell ref="BO77:BP77"/>
    <mergeCell ref="BS75:BT75"/>
    <mergeCell ref="BG76:BH76"/>
    <mergeCell ref="BI76:BJ76"/>
    <mergeCell ref="BK76:BL76"/>
    <mergeCell ref="BM76:BN76"/>
    <mergeCell ref="BO76:BP76"/>
    <mergeCell ref="BS76:BT76"/>
    <mergeCell ref="BG75:BH75"/>
    <mergeCell ref="BI75:BJ75"/>
    <mergeCell ref="BK75:BL75"/>
    <mergeCell ref="BM75:BN75"/>
    <mergeCell ref="BO75:BP75"/>
    <mergeCell ref="BS73:BT73"/>
    <mergeCell ref="BG74:BH74"/>
    <mergeCell ref="BI74:BJ74"/>
    <mergeCell ref="BK74:BL74"/>
    <mergeCell ref="BM74:BN74"/>
    <mergeCell ref="BO74:BP74"/>
    <mergeCell ref="BS74:BT74"/>
    <mergeCell ref="BG73:BH73"/>
    <mergeCell ref="BI73:BJ73"/>
    <mergeCell ref="BK73:BL73"/>
    <mergeCell ref="BM73:BN73"/>
    <mergeCell ref="BO73:BP73"/>
    <mergeCell ref="BS71:BT71"/>
    <mergeCell ref="BG72:BH72"/>
    <mergeCell ref="BI72:BJ72"/>
    <mergeCell ref="BK72:BL72"/>
    <mergeCell ref="BM72:BN72"/>
    <mergeCell ref="BO72:BP72"/>
    <mergeCell ref="BS72:BT72"/>
    <mergeCell ref="BG71:BH71"/>
    <mergeCell ref="BI71:BJ71"/>
    <mergeCell ref="BK71:BL71"/>
    <mergeCell ref="BM71:BN71"/>
    <mergeCell ref="BO71:BP71"/>
    <mergeCell ref="BS69:BT69"/>
    <mergeCell ref="BG70:BH70"/>
    <mergeCell ref="BI70:BJ70"/>
    <mergeCell ref="BK70:BL70"/>
    <mergeCell ref="BM70:BN70"/>
    <mergeCell ref="BO70:BP70"/>
    <mergeCell ref="BS70:BT70"/>
    <mergeCell ref="BG69:BH69"/>
    <mergeCell ref="BI69:BJ69"/>
    <mergeCell ref="BK69:BL69"/>
    <mergeCell ref="BM69:BN69"/>
    <mergeCell ref="BO69:BP69"/>
    <mergeCell ref="BS67:BT67"/>
    <mergeCell ref="BG68:BH68"/>
    <mergeCell ref="BI68:BJ68"/>
    <mergeCell ref="BK68:BL68"/>
    <mergeCell ref="BM68:BN68"/>
    <mergeCell ref="BO68:BP68"/>
    <mergeCell ref="BS68:BT68"/>
    <mergeCell ref="BG67:BH67"/>
    <mergeCell ref="BI67:BJ67"/>
    <mergeCell ref="BK67:BL67"/>
    <mergeCell ref="BM67:BN67"/>
    <mergeCell ref="BO67:BP67"/>
    <mergeCell ref="BS65:BT65"/>
    <mergeCell ref="BG66:BH66"/>
    <mergeCell ref="BI66:BJ66"/>
    <mergeCell ref="BK66:BL66"/>
    <mergeCell ref="BM66:BN66"/>
    <mergeCell ref="BO66:BP66"/>
    <mergeCell ref="BS66:BT66"/>
    <mergeCell ref="BG65:BH65"/>
    <mergeCell ref="BI65:BJ65"/>
    <mergeCell ref="BK65:BL65"/>
    <mergeCell ref="BM65:BN65"/>
    <mergeCell ref="BO65:BP65"/>
    <mergeCell ref="BS63:BT63"/>
    <mergeCell ref="BG64:BH64"/>
    <mergeCell ref="BI64:BJ64"/>
    <mergeCell ref="BK64:BL64"/>
    <mergeCell ref="BM64:BN64"/>
    <mergeCell ref="BO64:BP64"/>
    <mergeCell ref="BS64:BT64"/>
    <mergeCell ref="BG63:BH63"/>
    <mergeCell ref="BI63:BJ63"/>
    <mergeCell ref="BK63:BL63"/>
    <mergeCell ref="BM63:BN63"/>
    <mergeCell ref="BO63:BP63"/>
    <mergeCell ref="BS61:BT61"/>
    <mergeCell ref="BG62:BH62"/>
    <mergeCell ref="BI62:BJ62"/>
    <mergeCell ref="BK62:BL62"/>
    <mergeCell ref="BM62:BN62"/>
    <mergeCell ref="BO62:BP62"/>
    <mergeCell ref="BS62:BT62"/>
    <mergeCell ref="BG61:BH61"/>
    <mergeCell ref="BI61:BJ61"/>
    <mergeCell ref="BK61:BL61"/>
    <mergeCell ref="BM61:BN61"/>
    <mergeCell ref="BO61:BP61"/>
    <mergeCell ref="BS59:BT59"/>
    <mergeCell ref="BG60:BH60"/>
    <mergeCell ref="BI60:BJ60"/>
    <mergeCell ref="BK60:BL60"/>
    <mergeCell ref="BM60:BN60"/>
    <mergeCell ref="BO60:BP60"/>
    <mergeCell ref="BS60:BT60"/>
    <mergeCell ref="BG59:BH59"/>
    <mergeCell ref="BI59:BJ59"/>
    <mergeCell ref="BK59:BL59"/>
    <mergeCell ref="BM59:BN59"/>
    <mergeCell ref="BO59:BP59"/>
    <mergeCell ref="BS57:BT57"/>
    <mergeCell ref="BG58:BH58"/>
    <mergeCell ref="BI58:BJ58"/>
    <mergeCell ref="BK58:BL58"/>
    <mergeCell ref="BM58:BN58"/>
    <mergeCell ref="BO58:BP58"/>
    <mergeCell ref="BS58:BT58"/>
    <mergeCell ref="BG57:BH57"/>
    <mergeCell ref="BI57:BJ57"/>
    <mergeCell ref="BK57:BL57"/>
    <mergeCell ref="BM57:BN57"/>
    <mergeCell ref="BO57:BP57"/>
    <mergeCell ref="AY109:AZ109"/>
    <mergeCell ref="AM110:AN110"/>
    <mergeCell ref="AO110:AP110"/>
    <mergeCell ref="AQ110:AR110"/>
    <mergeCell ref="AS110:AT110"/>
    <mergeCell ref="AU110:AV110"/>
    <mergeCell ref="AW110:AX110"/>
    <mergeCell ref="AY110:AZ110"/>
    <mergeCell ref="AM109:AN109"/>
    <mergeCell ref="AO109:AP109"/>
    <mergeCell ref="AQ109:AR109"/>
    <mergeCell ref="AS109:AT109"/>
    <mergeCell ref="AU109:AV109"/>
    <mergeCell ref="AW109:AX109"/>
    <mergeCell ref="AY107:AZ107"/>
    <mergeCell ref="AM108:AN108"/>
    <mergeCell ref="AO108:AP108"/>
    <mergeCell ref="AQ108:AR108"/>
    <mergeCell ref="AS108:AT108"/>
    <mergeCell ref="AU108:AV108"/>
    <mergeCell ref="AW108:AX108"/>
    <mergeCell ref="AY108:AZ108"/>
    <mergeCell ref="AM107:AN107"/>
    <mergeCell ref="AO107:AP107"/>
    <mergeCell ref="AQ107:AR107"/>
    <mergeCell ref="AS107:AT107"/>
    <mergeCell ref="AU107:AV107"/>
    <mergeCell ref="AW107:AX107"/>
    <mergeCell ref="AY105:AZ105"/>
    <mergeCell ref="AM106:AN106"/>
    <mergeCell ref="AO106:AP106"/>
    <mergeCell ref="AQ106:AR106"/>
    <mergeCell ref="AS106:AT106"/>
    <mergeCell ref="AU106:AV106"/>
    <mergeCell ref="AW106:AX106"/>
    <mergeCell ref="AY106:AZ106"/>
    <mergeCell ref="AM105:AN105"/>
    <mergeCell ref="AO105:AP105"/>
    <mergeCell ref="AQ105:AR105"/>
    <mergeCell ref="AS105:AT105"/>
    <mergeCell ref="AU105:AV105"/>
    <mergeCell ref="AW105:AX105"/>
    <mergeCell ref="AY103:AZ103"/>
    <mergeCell ref="AM104:AN104"/>
    <mergeCell ref="AO104:AP104"/>
    <mergeCell ref="AQ104:AR104"/>
    <mergeCell ref="AS104:AT104"/>
    <mergeCell ref="AU104:AV104"/>
    <mergeCell ref="AW104:AX104"/>
    <mergeCell ref="AY104:AZ104"/>
    <mergeCell ref="AM103:AN103"/>
    <mergeCell ref="AO103:AP103"/>
    <mergeCell ref="AQ103:AR103"/>
    <mergeCell ref="AS103:AT103"/>
    <mergeCell ref="AU103:AV103"/>
    <mergeCell ref="AW103:AX103"/>
    <mergeCell ref="AY101:AZ101"/>
    <mergeCell ref="AM102:AN102"/>
    <mergeCell ref="AO102:AP102"/>
    <mergeCell ref="AQ102:AR102"/>
    <mergeCell ref="AS102:AT102"/>
    <mergeCell ref="AU102:AV102"/>
    <mergeCell ref="AW102:AX102"/>
    <mergeCell ref="AY102:AZ102"/>
    <mergeCell ref="AM101:AN101"/>
    <mergeCell ref="AO101:AP101"/>
    <mergeCell ref="AQ101:AR101"/>
    <mergeCell ref="AS101:AT101"/>
    <mergeCell ref="AU101:AV101"/>
    <mergeCell ref="AW101:AX101"/>
    <mergeCell ref="AY99:AZ99"/>
    <mergeCell ref="AM100:AN100"/>
    <mergeCell ref="AO100:AP100"/>
    <mergeCell ref="AQ100:AR100"/>
    <mergeCell ref="AS100:AT100"/>
    <mergeCell ref="AU100:AV100"/>
    <mergeCell ref="AW100:AX100"/>
    <mergeCell ref="AY100:AZ100"/>
    <mergeCell ref="AM99:AN99"/>
    <mergeCell ref="AO99:AP99"/>
    <mergeCell ref="AQ99:AR99"/>
    <mergeCell ref="AS99:AT99"/>
    <mergeCell ref="AU99:AV99"/>
    <mergeCell ref="AW99:AX99"/>
    <mergeCell ref="AY97:AZ97"/>
    <mergeCell ref="AM98:AN98"/>
    <mergeCell ref="AO98:AP98"/>
    <mergeCell ref="AQ98:AR98"/>
    <mergeCell ref="AS98:AT98"/>
    <mergeCell ref="AU98:AV98"/>
    <mergeCell ref="AW98:AX98"/>
    <mergeCell ref="AY98:AZ98"/>
    <mergeCell ref="AM97:AN97"/>
    <mergeCell ref="AO97:AP97"/>
    <mergeCell ref="AQ97:AR97"/>
    <mergeCell ref="AS97:AT97"/>
    <mergeCell ref="AU97:AV97"/>
    <mergeCell ref="AW97:AX97"/>
    <mergeCell ref="AY95:AZ95"/>
    <mergeCell ref="AM96:AN96"/>
    <mergeCell ref="AO96:AP96"/>
    <mergeCell ref="AQ96:AR96"/>
    <mergeCell ref="AS96:AT96"/>
    <mergeCell ref="AU96:AV96"/>
    <mergeCell ref="AW96:AX96"/>
    <mergeCell ref="AY96:AZ96"/>
    <mergeCell ref="AM95:AN95"/>
    <mergeCell ref="AO95:AP95"/>
    <mergeCell ref="AQ95:AR95"/>
    <mergeCell ref="AS95:AT95"/>
    <mergeCell ref="AU95:AV95"/>
    <mergeCell ref="AW95:AX95"/>
    <mergeCell ref="AY93:AZ93"/>
    <mergeCell ref="AM94:AN94"/>
    <mergeCell ref="AO94:AP94"/>
    <mergeCell ref="AQ94:AR94"/>
    <mergeCell ref="AS94:AT94"/>
    <mergeCell ref="AU94:AV94"/>
    <mergeCell ref="AW94:AX94"/>
    <mergeCell ref="AY94:AZ94"/>
    <mergeCell ref="AM93:AN93"/>
    <mergeCell ref="AO93:AP93"/>
    <mergeCell ref="AQ93:AR93"/>
    <mergeCell ref="AS93:AT93"/>
    <mergeCell ref="AU93:AV93"/>
    <mergeCell ref="AW93:AX93"/>
    <mergeCell ref="AY91:AZ91"/>
    <mergeCell ref="AM92:AN92"/>
    <mergeCell ref="AO92:AP92"/>
    <mergeCell ref="AQ92:AR92"/>
    <mergeCell ref="AS92:AT92"/>
    <mergeCell ref="AU92:AV92"/>
    <mergeCell ref="AW92:AX92"/>
    <mergeCell ref="AY92:AZ92"/>
    <mergeCell ref="AM91:AN91"/>
    <mergeCell ref="AO91:AP91"/>
    <mergeCell ref="AQ91:AR91"/>
    <mergeCell ref="AS91:AT91"/>
    <mergeCell ref="AU91:AV91"/>
    <mergeCell ref="AW91:AX91"/>
    <mergeCell ref="AY89:AZ89"/>
    <mergeCell ref="AM90:AN90"/>
    <mergeCell ref="AO90:AP90"/>
    <mergeCell ref="AQ90:AR90"/>
    <mergeCell ref="AS90:AT90"/>
    <mergeCell ref="AU90:AV90"/>
    <mergeCell ref="AW90:AX90"/>
    <mergeCell ref="AY90:AZ90"/>
    <mergeCell ref="AM89:AN89"/>
    <mergeCell ref="AO89:AP89"/>
    <mergeCell ref="AQ89:AR89"/>
    <mergeCell ref="AS89:AT89"/>
    <mergeCell ref="AU89:AV89"/>
    <mergeCell ref="AW89:AX89"/>
    <mergeCell ref="AY87:AZ87"/>
    <mergeCell ref="AM88:AN88"/>
    <mergeCell ref="AO88:AP88"/>
    <mergeCell ref="AQ88:AR88"/>
    <mergeCell ref="AS88:AT88"/>
    <mergeCell ref="AU88:AV88"/>
    <mergeCell ref="AW88:AX88"/>
    <mergeCell ref="AY88:AZ88"/>
    <mergeCell ref="AM87:AN87"/>
    <mergeCell ref="AO87:AP87"/>
    <mergeCell ref="AQ87:AR87"/>
    <mergeCell ref="AS87:AT87"/>
    <mergeCell ref="AU87:AV87"/>
    <mergeCell ref="AW87:AX87"/>
    <mergeCell ref="AY85:AZ85"/>
    <mergeCell ref="AM86:AN86"/>
    <mergeCell ref="AO86:AP86"/>
    <mergeCell ref="AQ86:AR86"/>
    <mergeCell ref="AS86:AT86"/>
    <mergeCell ref="AU86:AV86"/>
    <mergeCell ref="AW86:AX86"/>
    <mergeCell ref="AY86:AZ86"/>
    <mergeCell ref="AM85:AN85"/>
    <mergeCell ref="AO85:AP85"/>
    <mergeCell ref="AQ85:AR85"/>
    <mergeCell ref="AS85:AT85"/>
    <mergeCell ref="AU85:AV85"/>
    <mergeCell ref="AW85:AX85"/>
    <mergeCell ref="AY83:AZ83"/>
    <mergeCell ref="AM84:AN84"/>
    <mergeCell ref="AO84:AP84"/>
    <mergeCell ref="AQ84:AR84"/>
    <mergeCell ref="AS84:AT84"/>
    <mergeCell ref="AU84:AV84"/>
    <mergeCell ref="AW84:AX84"/>
    <mergeCell ref="AY84:AZ84"/>
    <mergeCell ref="AM83:AN83"/>
    <mergeCell ref="AO83:AP83"/>
    <mergeCell ref="AQ83:AR83"/>
    <mergeCell ref="AS83:AT83"/>
    <mergeCell ref="AU83:AV83"/>
    <mergeCell ref="AW83:AX83"/>
    <mergeCell ref="AY81:AZ81"/>
    <mergeCell ref="AM82:AN82"/>
    <mergeCell ref="AO82:AP82"/>
    <mergeCell ref="AQ82:AR82"/>
    <mergeCell ref="AS82:AT82"/>
    <mergeCell ref="AU82:AV82"/>
    <mergeCell ref="AW82:AX82"/>
    <mergeCell ref="AY82:AZ82"/>
    <mergeCell ref="AM81:AN81"/>
    <mergeCell ref="AO81:AP81"/>
    <mergeCell ref="AQ81:AR81"/>
    <mergeCell ref="AS81:AT81"/>
    <mergeCell ref="AU81:AV81"/>
    <mergeCell ref="AW81:AX81"/>
    <mergeCell ref="AY79:AZ79"/>
    <mergeCell ref="AM80:AN80"/>
    <mergeCell ref="AO80:AP80"/>
    <mergeCell ref="AQ80:AR80"/>
    <mergeCell ref="AS80:AT80"/>
    <mergeCell ref="AU80:AV80"/>
    <mergeCell ref="AW80:AX80"/>
    <mergeCell ref="AY80:AZ80"/>
    <mergeCell ref="AM79:AN79"/>
    <mergeCell ref="AO79:AP79"/>
    <mergeCell ref="AQ79:AR79"/>
    <mergeCell ref="AS79:AT79"/>
    <mergeCell ref="AU79:AV79"/>
    <mergeCell ref="AW79:AX79"/>
    <mergeCell ref="AY77:AZ77"/>
    <mergeCell ref="AM78:AN78"/>
    <mergeCell ref="AO78:AP78"/>
    <mergeCell ref="AQ78:AR78"/>
    <mergeCell ref="AS78:AT78"/>
    <mergeCell ref="AU78:AV78"/>
    <mergeCell ref="AW78:AX78"/>
    <mergeCell ref="AY78:AZ78"/>
    <mergeCell ref="AM77:AN77"/>
    <mergeCell ref="AO77:AP77"/>
    <mergeCell ref="AQ77:AR77"/>
    <mergeCell ref="AS77:AT77"/>
    <mergeCell ref="AU77:AV77"/>
    <mergeCell ref="AW77:AX77"/>
    <mergeCell ref="AY75:AZ75"/>
    <mergeCell ref="AM76:AN76"/>
    <mergeCell ref="AO76:AP76"/>
    <mergeCell ref="AQ76:AR76"/>
    <mergeCell ref="AS76:AT76"/>
    <mergeCell ref="AU76:AV76"/>
    <mergeCell ref="AW76:AX76"/>
    <mergeCell ref="AY76:AZ76"/>
    <mergeCell ref="AM75:AN75"/>
    <mergeCell ref="AO75:AP75"/>
    <mergeCell ref="AQ75:AR75"/>
    <mergeCell ref="AS75:AT75"/>
    <mergeCell ref="AU75:AV75"/>
    <mergeCell ref="AW75:AX75"/>
    <mergeCell ref="AY73:AZ73"/>
    <mergeCell ref="AM74:AN74"/>
    <mergeCell ref="AO74:AP74"/>
    <mergeCell ref="AQ74:AR74"/>
    <mergeCell ref="AS74:AT74"/>
    <mergeCell ref="AU74:AV74"/>
    <mergeCell ref="AW74:AX74"/>
    <mergeCell ref="AY74:AZ74"/>
    <mergeCell ref="AM73:AN73"/>
    <mergeCell ref="AO73:AP73"/>
    <mergeCell ref="AQ73:AR73"/>
    <mergeCell ref="AS73:AT73"/>
    <mergeCell ref="AU73:AV73"/>
    <mergeCell ref="AW73:AX73"/>
    <mergeCell ref="AY71:AZ71"/>
    <mergeCell ref="AM72:AN72"/>
    <mergeCell ref="AO72:AP72"/>
    <mergeCell ref="AQ72:AR72"/>
    <mergeCell ref="AS72:AT72"/>
    <mergeCell ref="AU72:AV72"/>
    <mergeCell ref="AW72:AX72"/>
    <mergeCell ref="AY72:AZ72"/>
    <mergeCell ref="AM71:AN71"/>
    <mergeCell ref="AO71:AP71"/>
    <mergeCell ref="AQ71:AR71"/>
    <mergeCell ref="AS71:AT71"/>
    <mergeCell ref="AU71:AV71"/>
    <mergeCell ref="AW71:AX71"/>
    <mergeCell ref="AY69:AZ69"/>
    <mergeCell ref="AM70:AN70"/>
    <mergeCell ref="AO70:AP70"/>
    <mergeCell ref="AQ70:AR70"/>
    <mergeCell ref="AS70:AT70"/>
    <mergeCell ref="AU70:AV70"/>
    <mergeCell ref="AW70:AX70"/>
    <mergeCell ref="AY70:AZ70"/>
    <mergeCell ref="AM69:AN69"/>
    <mergeCell ref="AO69:AP69"/>
    <mergeCell ref="AQ69:AR69"/>
    <mergeCell ref="AS69:AT69"/>
    <mergeCell ref="AU69:AV69"/>
    <mergeCell ref="AW69:AX69"/>
    <mergeCell ref="AY67:AZ67"/>
    <mergeCell ref="AM68:AN68"/>
    <mergeCell ref="AO68:AP68"/>
    <mergeCell ref="AQ68:AR68"/>
    <mergeCell ref="AS68:AT68"/>
    <mergeCell ref="AU68:AV68"/>
    <mergeCell ref="AW68:AX68"/>
    <mergeCell ref="AY68:AZ68"/>
    <mergeCell ref="AM67:AN67"/>
    <mergeCell ref="AO67:AP67"/>
    <mergeCell ref="AQ67:AR67"/>
    <mergeCell ref="AS67:AT67"/>
    <mergeCell ref="AU67:AV67"/>
    <mergeCell ref="AW67:AX67"/>
    <mergeCell ref="AY65:AZ65"/>
    <mergeCell ref="AM66:AN66"/>
    <mergeCell ref="AO66:AP66"/>
    <mergeCell ref="AQ66:AR66"/>
    <mergeCell ref="AS66:AT66"/>
    <mergeCell ref="AU66:AV66"/>
    <mergeCell ref="AW66:AX66"/>
    <mergeCell ref="AY66:AZ66"/>
    <mergeCell ref="AM65:AN65"/>
    <mergeCell ref="AO65:AP65"/>
    <mergeCell ref="AQ65:AR65"/>
    <mergeCell ref="AS65:AT65"/>
    <mergeCell ref="AU65:AV65"/>
    <mergeCell ref="AW65:AX65"/>
    <mergeCell ref="AY63:AZ63"/>
    <mergeCell ref="AM64:AN64"/>
    <mergeCell ref="AO64:AP64"/>
    <mergeCell ref="AQ64:AR64"/>
    <mergeCell ref="AS64:AT64"/>
    <mergeCell ref="AU64:AV64"/>
    <mergeCell ref="AW64:AX64"/>
    <mergeCell ref="AY64:AZ64"/>
    <mergeCell ref="AM63:AN63"/>
    <mergeCell ref="AO63:AP63"/>
    <mergeCell ref="AQ63:AR63"/>
    <mergeCell ref="AS63:AT63"/>
    <mergeCell ref="AU63:AV63"/>
    <mergeCell ref="AW63:AX63"/>
    <mergeCell ref="AY61:AZ61"/>
    <mergeCell ref="AM62:AN62"/>
    <mergeCell ref="AO62:AP62"/>
    <mergeCell ref="AQ62:AR62"/>
    <mergeCell ref="AS62:AT62"/>
    <mergeCell ref="AU62:AV62"/>
    <mergeCell ref="AW62:AX62"/>
    <mergeCell ref="AY62:AZ62"/>
    <mergeCell ref="AM61:AN61"/>
    <mergeCell ref="AO61:AP61"/>
    <mergeCell ref="AQ61:AR61"/>
    <mergeCell ref="AS61:AT61"/>
    <mergeCell ref="AU61:AV61"/>
    <mergeCell ref="AW61:AX61"/>
    <mergeCell ref="AY59:AZ59"/>
    <mergeCell ref="AM60:AN60"/>
    <mergeCell ref="AO60:AP60"/>
    <mergeCell ref="AQ60:AR60"/>
    <mergeCell ref="AS60:AT60"/>
    <mergeCell ref="AU60:AV60"/>
    <mergeCell ref="AW60:AX60"/>
    <mergeCell ref="AY60:AZ60"/>
    <mergeCell ref="AM59:AN59"/>
    <mergeCell ref="AO59:AP59"/>
    <mergeCell ref="AQ59:AR59"/>
    <mergeCell ref="AS59:AT59"/>
    <mergeCell ref="AU59:AV59"/>
    <mergeCell ref="AW59:AX59"/>
    <mergeCell ref="AY57:AZ57"/>
    <mergeCell ref="AM58:AN58"/>
    <mergeCell ref="AO58:AP58"/>
    <mergeCell ref="AQ58:AR58"/>
    <mergeCell ref="AS58:AT58"/>
    <mergeCell ref="AU58:AV58"/>
    <mergeCell ref="AW58:AX58"/>
    <mergeCell ref="AY58:AZ58"/>
    <mergeCell ref="AM57:AN57"/>
    <mergeCell ref="AO57:AP57"/>
    <mergeCell ref="AQ57:AR57"/>
    <mergeCell ref="AS57:AT57"/>
    <mergeCell ref="AU57:AV57"/>
    <mergeCell ref="AW57:AX57"/>
  </mergeCells>
  <phoneticPr fontId="2" type="noConversion"/>
  <conditionalFormatting sqref="AU57 AO57:AO110">
    <cfRule type="cellIs" dxfId="3" priority="3" operator="equal">
      <formula>"n"</formula>
    </cfRule>
    <cfRule type="cellIs" dxfId="2" priority="4" operator="equal">
      <formula>"y"</formula>
    </cfRule>
  </conditionalFormatting>
  <conditionalFormatting sqref="BO57 BI57:BI110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76E9-F0B6-4993-AD39-45F8DFF5D61C}">
  <dimension ref="A1:AL169"/>
  <sheetViews>
    <sheetView workbookViewId="0">
      <selection activeCell="B41" sqref="B41:C42"/>
    </sheetView>
  </sheetViews>
  <sheetFormatPr defaultRowHeight="15" x14ac:dyDescent="0.25"/>
  <cols>
    <col min="1" max="1" width="35" customWidth="1"/>
    <col min="2" max="5" width="20.85546875" customWidth="1"/>
    <col min="17" max="17" width="9.140625" style="18"/>
    <col min="23" max="23" width="35" customWidth="1"/>
    <col min="24" max="24" width="8.7109375" customWidth="1"/>
  </cols>
  <sheetData>
    <row r="1" spans="1:38" x14ac:dyDescent="0.25">
      <c r="A1" t="s">
        <v>325</v>
      </c>
      <c r="B1" t="s">
        <v>21</v>
      </c>
      <c r="C1" t="s">
        <v>306</v>
      </c>
      <c r="D1" t="s">
        <v>304</v>
      </c>
      <c r="E1" t="s">
        <v>307</v>
      </c>
    </row>
    <row r="2" spans="1:38" x14ac:dyDescent="0.25">
      <c r="A2" t="s">
        <v>326</v>
      </c>
      <c r="B2" t="s">
        <v>47</v>
      </c>
      <c r="C2" t="s">
        <v>306</v>
      </c>
      <c r="D2" t="s">
        <v>308</v>
      </c>
      <c r="E2" t="s">
        <v>315</v>
      </c>
    </row>
    <row r="3" spans="1:38" x14ac:dyDescent="0.25">
      <c r="A3" t="s">
        <v>327</v>
      </c>
      <c r="B3" t="s">
        <v>38</v>
      </c>
      <c r="C3" t="s">
        <v>38</v>
      </c>
      <c r="D3" t="s">
        <v>19</v>
      </c>
      <c r="E3" t="s">
        <v>315</v>
      </c>
      <c r="X3">
        <f>SUM(X5:X167)</f>
        <v>569</v>
      </c>
      <c r="Y3">
        <f t="shared" ref="Y3:AA3" si="0">SUM(Y5:Y167)</f>
        <v>569</v>
      </c>
      <c r="Z3">
        <f t="shared" si="0"/>
        <v>569</v>
      </c>
      <c r="AA3">
        <f t="shared" si="0"/>
        <v>569</v>
      </c>
    </row>
    <row r="4" spans="1:38" ht="15.75" thickBot="1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  <c r="O4" s="8" t="s">
        <v>16</v>
      </c>
      <c r="P4" s="11"/>
      <c r="W4" t="s">
        <v>2</v>
      </c>
      <c r="X4" t="s">
        <v>3</v>
      </c>
      <c r="Y4" t="s">
        <v>4</v>
      </c>
      <c r="Z4" t="s">
        <v>5</v>
      </c>
      <c r="AA4" t="s">
        <v>6</v>
      </c>
      <c r="AB4" s="8" t="s">
        <v>7</v>
      </c>
      <c r="AC4" s="8" t="s">
        <v>8</v>
      </c>
      <c r="AD4" s="8" t="s">
        <v>9</v>
      </c>
      <c r="AE4" s="8" t="s">
        <v>10</v>
      </c>
      <c r="AF4" s="8" t="s">
        <v>11</v>
      </c>
      <c r="AG4" s="8" t="s">
        <v>12</v>
      </c>
      <c r="AH4" s="8" t="s">
        <v>13</v>
      </c>
      <c r="AI4" s="8" t="s">
        <v>14</v>
      </c>
      <c r="AJ4" s="8" t="s">
        <v>15</v>
      </c>
      <c r="AK4" s="8" t="s">
        <v>16</v>
      </c>
      <c r="AL4" s="11" t="s">
        <v>324</v>
      </c>
    </row>
    <row r="5" spans="1:38" x14ac:dyDescent="0.25">
      <c r="A5" t="s">
        <v>303</v>
      </c>
      <c r="B5">
        <v>16</v>
      </c>
      <c r="E5">
        <v>2</v>
      </c>
      <c r="T5" s="1" t="s">
        <v>0</v>
      </c>
      <c r="U5" s="9" t="s">
        <v>320</v>
      </c>
      <c r="W5" t="str">
        <f>A5</f>
        <v>01A-UGRA-MCAULEY</v>
      </c>
      <c r="X5">
        <f t="shared" ref="X5:X36" si="1">_xlfn.IFNA(LOOKUP(B5,$T$6:$T$25,$U$6:$U$25),0)+COUNTIF(B$1:B$3,$W5)</f>
        <v>18</v>
      </c>
      <c r="Y5">
        <f t="shared" ref="Y5:Y36" si="2">_xlfn.IFNA(LOOKUP(C5,$T$6:$T$25,$U$6:$U$25),0)+COUNTIF(C$1:C$3,$W5)</f>
        <v>0</v>
      </c>
      <c r="Z5">
        <f t="shared" ref="Z5:Z36" si="3">_xlfn.IFNA(LOOKUP(D5,$T$6:$T$25,$U$6:$U$25),0)+COUNTIF(D$1:D$3,$W5)</f>
        <v>0</v>
      </c>
      <c r="AA5">
        <f t="shared" ref="AA5:AA36" si="4">_xlfn.IFNA(LOOKUP(E5,$T$6:$T$25,$U$6:$U$25),0)+COUNTIF(E$1:E$3,$W5)</f>
        <v>45</v>
      </c>
      <c r="AB5">
        <f t="shared" ref="AB5:AB36" si="5">_xlfn.IFNA(LOOKUP(F5,$T$6:$T$25,$U$6:$U$25),0)+COUNTIF(F$1:F$3,$W5)</f>
        <v>0</v>
      </c>
      <c r="AC5">
        <f t="shared" ref="AC5:AC36" si="6">_xlfn.IFNA(LOOKUP(G5,$T$6:$T$25,$U$6:$U$25),0)+COUNTIF(G$1:G$3,$W5)</f>
        <v>0</v>
      </c>
      <c r="AD5">
        <f t="shared" ref="AD5:AD36" si="7">_xlfn.IFNA(LOOKUP(H5,$T$6:$T$25,$U$6:$U$25),0)+COUNTIF(H$1:H$3,$W5)</f>
        <v>0</v>
      </c>
      <c r="AE5">
        <f t="shared" ref="AE5:AE36" si="8">_xlfn.IFNA(LOOKUP(I5,$T$6:$T$25,$U$6:$U$25),0)+COUNTIF(I$1:I$3,$W5)</f>
        <v>0</v>
      </c>
      <c r="AF5">
        <f t="shared" ref="AF5:AF36" si="9">_xlfn.IFNA(LOOKUP(J5,$T$6:$T$25,$U$6:$U$25),0)+COUNTIF(J$1:J$3,$W5)</f>
        <v>0</v>
      </c>
      <c r="AG5">
        <f t="shared" ref="AG5:AG36" si="10">_xlfn.IFNA(LOOKUP(K5,$T$6:$T$25,$U$6:$U$25),0)+COUNTIF(K$1:K$3,$W5)</f>
        <v>0</v>
      </c>
      <c r="AH5">
        <f t="shared" ref="AH5:AH36" si="11">_xlfn.IFNA(LOOKUP(L5,$T$6:$T$25,$U$6:$U$25),0)+COUNTIF(L$1:L$3,$W5)</f>
        <v>0</v>
      </c>
      <c r="AI5">
        <f t="shared" ref="AI5:AI36" si="12">_xlfn.IFNA(LOOKUP(M5,$T$6:$T$25,$U$6:$U$25),0)+COUNTIF(M$1:M$3,$W5)</f>
        <v>0</v>
      </c>
      <c r="AJ5">
        <f t="shared" ref="AJ5:AJ36" si="13">_xlfn.IFNA(LOOKUP(N5,$T$6:$T$25,$U$6:$U$25),0)+COUNTIF(N$1:N$3,$W5)</f>
        <v>0</v>
      </c>
      <c r="AK5">
        <f t="shared" ref="AK5:AK36" si="14">_xlfn.IFNA(LOOKUP(O5,$T$6:$T$25,$U$6:$U$25),0)+COUNTIF(O$1:O$3,$W5)</f>
        <v>0</v>
      </c>
      <c r="AL5">
        <f>SUM(X5:AK5)</f>
        <v>63</v>
      </c>
    </row>
    <row r="6" spans="1:38" x14ac:dyDescent="0.25">
      <c r="A6" t="s">
        <v>304</v>
      </c>
      <c r="D6">
        <v>1</v>
      </c>
      <c r="T6" s="2">
        <v>1</v>
      </c>
      <c r="U6" s="6">
        <v>50</v>
      </c>
      <c r="W6" t="str">
        <f t="shared" ref="W6:W68" si="15">A6</f>
        <v>01C-UGRA-KHAN</v>
      </c>
      <c r="X6">
        <f t="shared" si="1"/>
        <v>0</v>
      </c>
      <c r="Y6">
        <f t="shared" si="2"/>
        <v>0</v>
      </c>
      <c r="Z6">
        <f t="shared" si="3"/>
        <v>51</v>
      </c>
      <c r="AA6">
        <f t="shared" si="4"/>
        <v>0</v>
      </c>
      <c r="AB6">
        <f t="shared" si="5"/>
        <v>0</v>
      </c>
      <c r="AC6">
        <f t="shared" si="6"/>
        <v>0</v>
      </c>
      <c r="AD6">
        <f t="shared" si="7"/>
        <v>0</v>
      </c>
      <c r="AE6">
        <f t="shared" si="8"/>
        <v>0</v>
      </c>
      <c r="AF6">
        <f t="shared" si="9"/>
        <v>0</v>
      </c>
      <c r="AG6">
        <f t="shared" si="10"/>
        <v>0</v>
      </c>
      <c r="AH6">
        <f t="shared" si="11"/>
        <v>0</v>
      </c>
      <c r="AI6">
        <f t="shared" si="12"/>
        <v>0</v>
      </c>
      <c r="AJ6">
        <f t="shared" si="13"/>
        <v>0</v>
      </c>
      <c r="AK6">
        <f t="shared" si="14"/>
        <v>0</v>
      </c>
      <c r="AL6">
        <f t="shared" ref="AL6:AL68" si="16">SUM(X6:AK6)</f>
        <v>51</v>
      </c>
    </row>
    <row r="7" spans="1:38" x14ac:dyDescent="0.25">
      <c r="A7" t="s">
        <v>305</v>
      </c>
      <c r="C7">
        <v>16</v>
      </c>
      <c r="T7" s="2">
        <v>2</v>
      </c>
      <c r="U7" s="6">
        <v>45</v>
      </c>
      <c r="W7" t="str">
        <f t="shared" si="15"/>
        <v>01D-UGRA-GINTER</v>
      </c>
      <c r="X7">
        <f t="shared" si="1"/>
        <v>0</v>
      </c>
      <c r="Y7">
        <f t="shared" si="2"/>
        <v>18</v>
      </c>
      <c r="Z7">
        <f t="shared" si="3"/>
        <v>0</v>
      </c>
      <c r="AA7">
        <f t="shared" si="4"/>
        <v>0</v>
      </c>
      <c r="AB7">
        <f t="shared" si="5"/>
        <v>0</v>
      </c>
      <c r="AC7">
        <f t="shared" si="6"/>
        <v>0</v>
      </c>
      <c r="AD7">
        <f t="shared" si="7"/>
        <v>0</v>
      </c>
      <c r="AE7">
        <f t="shared" si="8"/>
        <v>0</v>
      </c>
      <c r="AF7">
        <f t="shared" si="9"/>
        <v>0</v>
      </c>
      <c r="AG7">
        <f t="shared" si="10"/>
        <v>0</v>
      </c>
      <c r="AH7">
        <f t="shared" si="11"/>
        <v>0</v>
      </c>
      <c r="AI7">
        <f t="shared" si="12"/>
        <v>0</v>
      </c>
      <c r="AJ7">
        <f t="shared" si="13"/>
        <v>0</v>
      </c>
      <c r="AK7">
        <f t="shared" si="14"/>
        <v>0</v>
      </c>
      <c r="AL7">
        <f t="shared" si="16"/>
        <v>18</v>
      </c>
    </row>
    <row r="8" spans="1:38" x14ac:dyDescent="0.25">
      <c r="A8" t="s">
        <v>306</v>
      </c>
      <c r="C8">
        <v>2</v>
      </c>
      <c r="T8" s="2">
        <v>3</v>
      </c>
      <c r="U8" s="6">
        <v>42</v>
      </c>
      <c r="W8" t="str">
        <f t="shared" si="15"/>
        <v>02A-STON-BHURJI</v>
      </c>
      <c r="X8">
        <f t="shared" si="1"/>
        <v>0</v>
      </c>
      <c r="Y8">
        <f t="shared" si="2"/>
        <v>47</v>
      </c>
      <c r="Z8">
        <f t="shared" si="3"/>
        <v>0</v>
      </c>
      <c r="AA8">
        <f t="shared" si="4"/>
        <v>0</v>
      </c>
      <c r="AB8">
        <f t="shared" si="5"/>
        <v>0</v>
      </c>
      <c r="AC8">
        <f t="shared" si="6"/>
        <v>0</v>
      </c>
      <c r="AD8">
        <f t="shared" si="7"/>
        <v>0</v>
      </c>
      <c r="AE8">
        <f t="shared" si="8"/>
        <v>0</v>
      </c>
      <c r="AF8">
        <f t="shared" si="9"/>
        <v>0</v>
      </c>
      <c r="AG8">
        <f t="shared" si="10"/>
        <v>0</v>
      </c>
      <c r="AH8">
        <f t="shared" si="11"/>
        <v>0</v>
      </c>
      <c r="AI8">
        <f t="shared" si="12"/>
        <v>0</v>
      </c>
      <c r="AJ8">
        <f t="shared" si="13"/>
        <v>0</v>
      </c>
      <c r="AK8">
        <f t="shared" si="14"/>
        <v>0</v>
      </c>
      <c r="AL8">
        <f t="shared" si="16"/>
        <v>47</v>
      </c>
    </row>
    <row r="9" spans="1:38" x14ac:dyDescent="0.25">
      <c r="A9" t="s">
        <v>307</v>
      </c>
      <c r="B9">
        <v>18</v>
      </c>
      <c r="E9">
        <v>1</v>
      </c>
      <c r="T9" s="2">
        <v>4</v>
      </c>
      <c r="U9" s="6">
        <v>40</v>
      </c>
      <c r="W9" t="str">
        <f t="shared" si="15"/>
        <v>02B-STON-MAWANDA</v>
      </c>
      <c r="X9">
        <f t="shared" si="1"/>
        <v>16</v>
      </c>
      <c r="Y9">
        <f t="shared" si="2"/>
        <v>0</v>
      </c>
      <c r="Z9">
        <f t="shared" si="3"/>
        <v>0</v>
      </c>
      <c r="AA9">
        <f t="shared" si="4"/>
        <v>51</v>
      </c>
      <c r="AB9">
        <f t="shared" si="5"/>
        <v>0</v>
      </c>
      <c r="AC9">
        <f t="shared" si="6"/>
        <v>0</v>
      </c>
      <c r="AD9">
        <f t="shared" si="7"/>
        <v>0</v>
      </c>
      <c r="AE9">
        <f t="shared" si="8"/>
        <v>0</v>
      </c>
      <c r="AF9">
        <f t="shared" si="9"/>
        <v>0</v>
      </c>
      <c r="AG9">
        <f t="shared" si="10"/>
        <v>0</v>
      </c>
      <c r="AH9">
        <f t="shared" si="11"/>
        <v>0</v>
      </c>
      <c r="AI9">
        <f t="shared" si="12"/>
        <v>0</v>
      </c>
      <c r="AJ9">
        <f t="shared" si="13"/>
        <v>0</v>
      </c>
      <c r="AK9">
        <f t="shared" si="14"/>
        <v>0</v>
      </c>
      <c r="AL9">
        <f t="shared" si="16"/>
        <v>67</v>
      </c>
    </row>
    <row r="10" spans="1:38" x14ac:dyDescent="0.25">
      <c r="A10" t="s">
        <v>308</v>
      </c>
      <c r="D10">
        <v>2</v>
      </c>
      <c r="T10" s="2">
        <v>5</v>
      </c>
      <c r="U10" s="6">
        <v>38</v>
      </c>
      <c r="W10" t="str">
        <f t="shared" si="15"/>
        <v>02C-STON-WHITTAKER-CAMPIGOTTO</v>
      </c>
      <c r="X10">
        <f t="shared" si="1"/>
        <v>0</v>
      </c>
      <c r="Y10">
        <f t="shared" si="2"/>
        <v>0</v>
      </c>
      <c r="Z10">
        <f t="shared" si="3"/>
        <v>46</v>
      </c>
      <c r="AA10">
        <f t="shared" si="4"/>
        <v>0</v>
      </c>
      <c r="AB10">
        <f t="shared" si="5"/>
        <v>0</v>
      </c>
      <c r="AC10">
        <f t="shared" si="6"/>
        <v>0</v>
      </c>
      <c r="AD10">
        <f t="shared" si="7"/>
        <v>0</v>
      </c>
      <c r="AE10">
        <f t="shared" si="8"/>
        <v>0</v>
      </c>
      <c r="AF10">
        <f t="shared" si="9"/>
        <v>0</v>
      </c>
      <c r="AG10">
        <f t="shared" si="10"/>
        <v>0</v>
      </c>
      <c r="AH10">
        <f t="shared" si="11"/>
        <v>0</v>
      </c>
      <c r="AI10">
        <f t="shared" si="12"/>
        <v>0</v>
      </c>
      <c r="AJ10">
        <f t="shared" si="13"/>
        <v>0</v>
      </c>
      <c r="AK10">
        <f t="shared" si="14"/>
        <v>0</v>
      </c>
      <c r="AL10">
        <f t="shared" si="16"/>
        <v>46</v>
      </c>
    </row>
    <row r="11" spans="1:38" x14ac:dyDescent="0.25">
      <c r="A11" t="s">
        <v>309</v>
      </c>
      <c r="B11">
        <v>5</v>
      </c>
      <c r="D11">
        <v>3</v>
      </c>
      <c r="T11" s="2">
        <v>6</v>
      </c>
      <c r="U11" s="6">
        <v>36</v>
      </c>
      <c r="W11" t="str">
        <f t="shared" si="15"/>
        <v>03A-HULLA-DAVISON</v>
      </c>
      <c r="X11">
        <f t="shared" si="1"/>
        <v>38</v>
      </c>
      <c r="Y11">
        <f t="shared" si="2"/>
        <v>0</v>
      </c>
      <c r="Z11">
        <f t="shared" si="3"/>
        <v>42</v>
      </c>
      <c r="AA11">
        <f t="shared" si="4"/>
        <v>0</v>
      </c>
      <c r="AB11">
        <f t="shared" si="5"/>
        <v>0</v>
      </c>
      <c r="AC11">
        <f t="shared" si="6"/>
        <v>0</v>
      </c>
      <c r="AD11">
        <f t="shared" si="7"/>
        <v>0</v>
      </c>
      <c r="AE11">
        <f t="shared" si="8"/>
        <v>0</v>
      </c>
      <c r="AF11">
        <f t="shared" si="9"/>
        <v>0</v>
      </c>
      <c r="AG11">
        <f t="shared" si="10"/>
        <v>0</v>
      </c>
      <c r="AH11">
        <f t="shared" si="11"/>
        <v>0</v>
      </c>
      <c r="AI11">
        <f t="shared" si="12"/>
        <v>0</v>
      </c>
      <c r="AJ11">
        <f t="shared" si="13"/>
        <v>0</v>
      </c>
      <c r="AK11">
        <f t="shared" si="14"/>
        <v>0</v>
      </c>
      <c r="AL11">
        <f t="shared" si="16"/>
        <v>80</v>
      </c>
    </row>
    <row r="12" spans="1:38" x14ac:dyDescent="0.25">
      <c r="A12" t="s">
        <v>310</v>
      </c>
      <c r="C12">
        <v>6</v>
      </c>
      <c r="E12">
        <v>13</v>
      </c>
      <c r="T12" s="2">
        <v>7</v>
      </c>
      <c r="U12" s="6">
        <v>34</v>
      </c>
      <c r="W12" t="str">
        <f t="shared" si="15"/>
        <v>03B-HULLA-PHILIP</v>
      </c>
      <c r="X12">
        <f t="shared" si="1"/>
        <v>0</v>
      </c>
      <c r="Y12">
        <f t="shared" si="2"/>
        <v>36</v>
      </c>
      <c r="Z12">
        <f t="shared" si="3"/>
        <v>0</v>
      </c>
      <c r="AA12">
        <f t="shared" si="4"/>
        <v>22</v>
      </c>
      <c r="AB12">
        <f t="shared" si="5"/>
        <v>0</v>
      </c>
      <c r="AC12">
        <f t="shared" si="6"/>
        <v>0</v>
      </c>
      <c r="AD12">
        <f t="shared" si="7"/>
        <v>0</v>
      </c>
      <c r="AE12">
        <f t="shared" si="8"/>
        <v>0</v>
      </c>
      <c r="AF12">
        <f t="shared" si="9"/>
        <v>0</v>
      </c>
      <c r="AG12">
        <f t="shared" si="10"/>
        <v>0</v>
      </c>
      <c r="AH12">
        <f t="shared" si="11"/>
        <v>0</v>
      </c>
      <c r="AI12">
        <f t="shared" si="12"/>
        <v>0</v>
      </c>
      <c r="AJ12">
        <f t="shared" si="13"/>
        <v>0</v>
      </c>
      <c r="AK12">
        <f t="shared" si="14"/>
        <v>0</v>
      </c>
      <c r="AL12">
        <f t="shared" si="16"/>
        <v>58</v>
      </c>
    </row>
    <row r="13" spans="1:38" x14ac:dyDescent="0.25">
      <c r="A13" t="s">
        <v>311</v>
      </c>
      <c r="C13">
        <v>3</v>
      </c>
      <c r="E13">
        <v>3</v>
      </c>
      <c r="T13" s="2">
        <v>8</v>
      </c>
      <c r="U13" s="6">
        <v>32</v>
      </c>
      <c r="W13" t="str">
        <f t="shared" si="15"/>
        <v>04B-NCME-KELL</v>
      </c>
      <c r="X13">
        <f t="shared" si="1"/>
        <v>0</v>
      </c>
      <c r="Y13">
        <f t="shared" si="2"/>
        <v>42</v>
      </c>
      <c r="Z13">
        <f t="shared" si="3"/>
        <v>0</v>
      </c>
      <c r="AA13">
        <f t="shared" si="4"/>
        <v>42</v>
      </c>
      <c r="AB13">
        <f t="shared" si="5"/>
        <v>0</v>
      </c>
      <c r="AC13">
        <f t="shared" si="6"/>
        <v>0</v>
      </c>
      <c r="AD13">
        <f t="shared" si="7"/>
        <v>0</v>
      </c>
      <c r="AE13">
        <f t="shared" si="8"/>
        <v>0</v>
      </c>
      <c r="AF13">
        <f t="shared" si="9"/>
        <v>0</v>
      </c>
      <c r="AG13">
        <f t="shared" si="10"/>
        <v>0</v>
      </c>
      <c r="AH13">
        <f t="shared" si="11"/>
        <v>0</v>
      </c>
      <c r="AI13">
        <f t="shared" si="12"/>
        <v>0</v>
      </c>
      <c r="AJ13">
        <f t="shared" si="13"/>
        <v>0</v>
      </c>
      <c r="AK13">
        <f t="shared" si="14"/>
        <v>0</v>
      </c>
      <c r="AL13">
        <f t="shared" si="16"/>
        <v>84</v>
      </c>
    </row>
    <row r="14" spans="1:38" x14ac:dyDescent="0.25">
      <c r="A14" t="s">
        <v>312</v>
      </c>
      <c r="B14">
        <v>4</v>
      </c>
      <c r="D14">
        <v>13</v>
      </c>
      <c r="T14" s="2">
        <v>9</v>
      </c>
      <c r="U14" s="6">
        <v>30</v>
      </c>
      <c r="W14" t="str">
        <f t="shared" si="15"/>
        <v>04C-NCME-CAMPBELL</v>
      </c>
      <c r="X14">
        <f t="shared" si="1"/>
        <v>40</v>
      </c>
      <c r="Y14">
        <f t="shared" si="2"/>
        <v>0</v>
      </c>
      <c r="Z14">
        <f t="shared" si="3"/>
        <v>22</v>
      </c>
      <c r="AA14">
        <f t="shared" si="4"/>
        <v>0</v>
      </c>
      <c r="AB14">
        <f t="shared" si="5"/>
        <v>0</v>
      </c>
      <c r="AC14">
        <f t="shared" si="6"/>
        <v>0</v>
      </c>
      <c r="AD14">
        <f t="shared" si="7"/>
        <v>0</v>
      </c>
      <c r="AE14">
        <f t="shared" si="8"/>
        <v>0</v>
      </c>
      <c r="AF14">
        <f t="shared" si="9"/>
        <v>0</v>
      </c>
      <c r="AG14">
        <f t="shared" si="10"/>
        <v>0</v>
      </c>
      <c r="AH14">
        <f t="shared" si="11"/>
        <v>0</v>
      </c>
      <c r="AI14">
        <f t="shared" si="12"/>
        <v>0</v>
      </c>
      <c r="AJ14">
        <f t="shared" si="13"/>
        <v>0</v>
      </c>
      <c r="AK14">
        <f t="shared" si="14"/>
        <v>0</v>
      </c>
      <c r="AL14">
        <f t="shared" si="16"/>
        <v>62</v>
      </c>
    </row>
    <row r="15" spans="1:38" x14ac:dyDescent="0.25">
      <c r="A15" t="s">
        <v>313</v>
      </c>
      <c r="D15">
        <v>12</v>
      </c>
      <c r="T15" s="2">
        <v>10</v>
      </c>
      <c r="U15" s="6">
        <v>28</v>
      </c>
      <c r="W15" t="str">
        <f t="shared" si="15"/>
        <v>05A-UWTSD-GREENHILL-UPWARD</v>
      </c>
      <c r="X15">
        <f t="shared" si="1"/>
        <v>0</v>
      </c>
      <c r="Y15">
        <f t="shared" si="2"/>
        <v>0</v>
      </c>
      <c r="Z15">
        <f t="shared" si="3"/>
        <v>24</v>
      </c>
      <c r="AA15">
        <f t="shared" si="4"/>
        <v>0</v>
      </c>
      <c r="AB15">
        <f t="shared" si="5"/>
        <v>0</v>
      </c>
      <c r="AC15">
        <f t="shared" si="6"/>
        <v>0</v>
      </c>
      <c r="AD15">
        <f t="shared" si="7"/>
        <v>0</v>
      </c>
      <c r="AE15">
        <f t="shared" si="8"/>
        <v>0</v>
      </c>
      <c r="AF15">
        <f t="shared" si="9"/>
        <v>0</v>
      </c>
      <c r="AG15">
        <f t="shared" si="10"/>
        <v>0</v>
      </c>
      <c r="AH15">
        <f t="shared" si="11"/>
        <v>0</v>
      </c>
      <c r="AI15">
        <f t="shared" si="12"/>
        <v>0</v>
      </c>
      <c r="AJ15">
        <f t="shared" si="13"/>
        <v>0</v>
      </c>
      <c r="AK15">
        <f t="shared" si="14"/>
        <v>0</v>
      </c>
      <c r="AL15">
        <f t="shared" si="16"/>
        <v>24</v>
      </c>
    </row>
    <row r="16" spans="1:38" x14ac:dyDescent="0.25">
      <c r="A16" t="s">
        <v>314</v>
      </c>
      <c r="C16">
        <v>4</v>
      </c>
      <c r="T16" s="2">
        <v>11</v>
      </c>
      <c r="U16" s="6">
        <v>26</v>
      </c>
      <c r="W16" t="str">
        <f t="shared" si="15"/>
        <v>05E-UWTSD-GRAY</v>
      </c>
      <c r="X16">
        <f t="shared" si="1"/>
        <v>0</v>
      </c>
      <c r="Y16">
        <f t="shared" si="2"/>
        <v>40</v>
      </c>
      <c r="Z16">
        <f t="shared" si="3"/>
        <v>0</v>
      </c>
      <c r="AA16">
        <f t="shared" si="4"/>
        <v>0</v>
      </c>
      <c r="AB16">
        <f t="shared" si="5"/>
        <v>0</v>
      </c>
      <c r="AC16">
        <f t="shared" si="6"/>
        <v>0</v>
      </c>
      <c r="AD16">
        <f t="shared" si="7"/>
        <v>0</v>
      </c>
      <c r="AE16">
        <f t="shared" si="8"/>
        <v>0</v>
      </c>
      <c r="AF16">
        <f t="shared" si="9"/>
        <v>0</v>
      </c>
      <c r="AG16">
        <f t="shared" si="10"/>
        <v>0</v>
      </c>
      <c r="AH16">
        <f t="shared" si="11"/>
        <v>0</v>
      </c>
      <c r="AI16">
        <f t="shared" si="12"/>
        <v>0</v>
      </c>
      <c r="AJ16">
        <f t="shared" si="13"/>
        <v>0</v>
      </c>
      <c r="AK16">
        <f t="shared" si="14"/>
        <v>0</v>
      </c>
      <c r="AL16">
        <f t="shared" si="16"/>
        <v>40</v>
      </c>
    </row>
    <row r="17" spans="1:38" x14ac:dyDescent="0.25">
      <c r="A17" t="s">
        <v>315</v>
      </c>
      <c r="B17">
        <v>3</v>
      </c>
      <c r="D17">
        <v>6</v>
      </c>
      <c r="E17">
        <v>4</v>
      </c>
      <c r="T17" s="13">
        <v>12</v>
      </c>
      <c r="U17" s="11">
        <v>24</v>
      </c>
      <c r="W17" t="str">
        <f t="shared" si="15"/>
        <v>06A-SALF-WHEATER</v>
      </c>
      <c r="X17">
        <f t="shared" si="1"/>
        <v>42</v>
      </c>
      <c r="Y17">
        <f t="shared" si="2"/>
        <v>0</v>
      </c>
      <c r="Z17">
        <f t="shared" si="3"/>
        <v>36</v>
      </c>
      <c r="AA17">
        <f t="shared" si="4"/>
        <v>42</v>
      </c>
      <c r="AB17">
        <f t="shared" si="5"/>
        <v>0</v>
      </c>
      <c r="AC17">
        <f t="shared" si="6"/>
        <v>0</v>
      </c>
      <c r="AD17">
        <f t="shared" si="7"/>
        <v>0</v>
      </c>
      <c r="AE17">
        <f t="shared" si="8"/>
        <v>0</v>
      </c>
      <c r="AF17">
        <f t="shared" si="9"/>
        <v>0</v>
      </c>
      <c r="AG17">
        <f t="shared" si="10"/>
        <v>0</v>
      </c>
      <c r="AH17">
        <f t="shared" si="11"/>
        <v>0</v>
      </c>
      <c r="AI17">
        <f t="shared" si="12"/>
        <v>0</v>
      </c>
      <c r="AJ17">
        <f t="shared" si="13"/>
        <v>0</v>
      </c>
      <c r="AK17">
        <f t="shared" si="14"/>
        <v>0</v>
      </c>
      <c r="AL17">
        <f t="shared" si="16"/>
        <v>120</v>
      </c>
    </row>
    <row r="18" spans="1:38" x14ac:dyDescent="0.25">
      <c r="A18" t="s">
        <v>316</v>
      </c>
      <c r="C18">
        <v>17</v>
      </c>
      <c r="D18">
        <v>16</v>
      </c>
      <c r="T18" s="2">
        <v>13</v>
      </c>
      <c r="U18" s="6">
        <v>22</v>
      </c>
      <c r="W18" t="str">
        <f t="shared" si="15"/>
        <v>08A-CARD-FARMER</v>
      </c>
      <c r="X18">
        <f t="shared" si="1"/>
        <v>0</v>
      </c>
      <c r="Y18">
        <f t="shared" si="2"/>
        <v>17</v>
      </c>
      <c r="Z18">
        <f t="shared" si="3"/>
        <v>18</v>
      </c>
      <c r="AA18">
        <f t="shared" si="4"/>
        <v>0</v>
      </c>
      <c r="AB18">
        <f t="shared" si="5"/>
        <v>0</v>
      </c>
      <c r="AC18">
        <f t="shared" si="6"/>
        <v>0</v>
      </c>
      <c r="AD18">
        <f t="shared" si="7"/>
        <v>0</v>
      </c>
      <c r="AE18">
        <f t="shared" si="8"/>
        <v>0</v>
      </c>
      <c r="AF18">
        <f t="shared" si="9"/>
        <v>0</v>
      </c>
      <c r="AG18">
        <f t="shared" si="10"/>
        <v>0</v>
      </c>
      <c r="AH18">
        <f t="shared" si="11"/>
        <v>0</v>
      </c>
      <c r="AI18">
        <f t="shared" si="12"/>
        <v>0</v>
      </c>
      <c r="AJ18">
        <f t="shared" si="13"/>
        <v>0</v>
      </c>
      <c r="AK18">
        <f t="shared" si="14"/>
        <v>0</v>
      </c>
      <c r="AL18">
        <f t="shared" si="16"/>
        <v>35</v>
      </c>
    </row>
    <row r="19" spans="1:38" x14ac:dyDescent="0.25">
      <c r="A19" t="s">
        <v>317</v>
      </c>
      <c r="B19">
        <v>9</v>
      </c>
      <c r="E19">
        <v>6</v>
      </c>
      <c r="T19" s="2">
        <v>14</v>
      </c>
      <c r="U19" s="6">
        <v>20</v>
      </c>
      <c r="W19" t="str">
        <f t="shared" si="15"/>
        <v>08B-CARD-KITCHEN</v>
      </c>
      <c r="X19">
        <f t="shared" si="1"/>
        <v>30</v>
      </c>
      <c r="Y19">
        <f t="shared" si="2"/>
        <v>0</v>
      </c>
      <c r="Z19">
        <f t="shared" si="3"/>
        <v>0</v>
      </c>
      <c r="AA19">
        <f t="shared" si="4"/>
        <v>36</v>
      </c>
      <c r="AB19">
        <f t="shared" si="5"/>
        <v>0</v>
      </c>
      <c r="AC19">
        <f t="shared" si="6"/>
        <v>0</v>
      </c>
      <c r="AD19">
        <f t="shared" si="7"/>
        <v>0</v>
      </c>
      <c r="AE19">
        <f t="shared" si="8"/>
        <v>0</v>
      </c>
      <c r="AF19">
        <f t="shared" si="9"/>
        <v>0</v>
      </c>
      <c r="AG19">
        <f t="shared" si="10"/>
        <v>0</v>
      </c>
      <c r="AH19">
        <f t="shared" si="11"/>
        <v>0</v>
      </c>
      <c r="AI19">
        <f t="shared" si="12"/>
        <v>0</v>
      </c>
      <c r="AJ19">
        <f t="shared" si="13"/>
        <v>0</v>
      </c>
      <c r="AK19">
        <f t="shared" si="14"/>
        <v>0</v>
      </c>
      <c r="AL19">
        <f t="shared" si="16"/>
        <v>66</v>
      </c>
    </row>
    <row r="20" spans="1:38" x14ac:dyDescent="0.25">
      <c r="A20" t="s">
        <v>318</v>
      </c>
      <c r="D20">
        <v>9</v>
      </c>
      <c r="T20" s="2">
        <v>15</v>
      </c>
      <c r="U20" s="6">
        <v>19</v>
      </c>
      <c r="W20" t="str">
        <f t="shared" si="15"/>
        <v>09D-VIT-MEDIAVILLA</v>
      </c>
      <c r="X20">
        <f t="shared" si="1"/>
        <v>0</v>
      </c>
      <c r="Y20">
        <f t="shared" si="2"/>
        <v>0</v>
      </c>
      <c r="Z20">
        <f t="shared" si="3"/>
        <v>30</v>
      </c>
      <c r="AA20">
        <f t="shared" si="4"/>
        <v>0</v>
      </c>
      <c r="AB20">
        <f t="shared" si="5"/>
        <v>0</v>
      </c>
      <c r="AC20">
        <f t="shared" si="6"/>
        <v>0</v>
      </c>
      <c r="AD20">
        <f t="shared" si="7"/>
        <v>0</v>
      </c>
      <c r="AE20">
        <f t="shared" si="8"/>
        <v>0</v>
      </c>
      <c r="AF20">
        <f t="shared" si="9"/>
        <v>0</v>
      </c>
      <c r="AG20">
        <f t="shared" si="10"/>
        <v>0</v>
      </c>
      <c r="AH20">
        <f t="shared" si="11"/>
        <v>0</v>
      </c>
      <c r="AI20">
        <f t="shared" si="12"/>
        <v>0</v>
      </c>
      <c r="AJ20">
        <f t="shared" si="13"/>
        <v>0</v>
      </c>
      <c r="AK20">
        <f t="shared" si="14"/>
        <v>0</v>
      </c>
      <c r="AL20">
        <f t="shared" si="16"/>
        <v>30</v>
      </c>
    </row>
    <row r="21" spans="1:38" x14ac:dyDescent="0.25">
      <c r="A21" t="s">
        <v>24</v>
      </c>
      <c r="E21">
        <v>14</v>
      </c>
      <c r="T21" s="2">
        <v>16</v>
      </c>
      <c r="U21" s="6">
        <v>18</v>
      </c>
      <c r="W21" t="str">
        <f t="shared" si="15"/>
        <v>10C-ION-PIHL</v>
      </c>
      <c r="X21">
        <f t="shared" si="1"/>
        <v>0</v>
      </c>
      <c r="Y21">
        <f t="shared" si="2"/>
        <v>0</v>
      </c>
      <c r="Z21">
        <f t="shared" si="3"/>
        <v>0</v>
      </c>
      <c r="AA21">
        <f t="shared" si="4"/>
        <v>20</v>
      </c>
      <c r="AB21">
        <f t="shared" si="5"/>
        <v>0</v>
      </c>
      <c r="AC21">
        <f t="shared" si="6"/>
        <v>0</v>
      </c>
      <c r="AD21">
        <f t="shared" si="7"/>
        <v>0</v>
      </c>
      <c r="AE21">
        <f t="shared" si="8"/>
        <v>0</v>
      </c>
      <c r="AF21">
        <f t="shared" si="9"/>
        <v>0</v>
      </c>
      <c r="AG21">
        <f t="shared" si="10"/>
        <v>0</v>
      </c>
      <c r="AH21">
        <f t="shared" si="11"/>
        <v>0</v>
      </c>
      <c r="AI21">
        <f t="shared" si="12"/>
        <v>0</v>
      </c>
      <c r="AJ21">
        <f t="shared" si="13"/>
        <v>0</v>
      </c>
      <c r="AK21">
        <f t="shared" si="14"/>
        <v>0</v>
      </c>
      <c r="AL21">
        <f t="shared" si="16"/>
        <v>20</v>
      </c>
    </row>
    <row r="22" spans="1:38" x14ac:dyDescent="0.25">
      <c r="A22" t="s">
        <v>42</v>
      </c>
      <c r="C22">
        <v>20</v>
      </c>
      <c r="T22" s="2">
        <v>17</v>
      </c>
      <c r="U22" s="6">
        <v>17</v>
      </c>
      <c r="W22" t="str">
        <f t="shared" si="15"/>
        <v>11B-CAMA-ZALA</v>
      </c>
      <c r="X22">
        <f t="shared" si="1"/>
        <v>0</v>
      </c>
      <c r="Y22">
        <f t="shared" si="2"/>
        <v>14</v>
      </c>
      <c r="Z22">
        <f t="shared" si="3"/>
        <v>0</v>
      </c>
      <c r="AA22">
        <f t="shared" si="4"/>
        <v>0</v>
      </c>
      <c r="AB22">
        <f t="shared" si="5"/>
        <v>0</v>
      </c>
      <c r="AC22">
        <f t="shared" si="6"/>
        <v>0</v>
      </c>
      <c r="AD22">
        <f t="shared" si="7"/>
        <v>0</v>
      </c>
      <c r="AE22">
        <f t="shared" si="8"/>
        <v>0</v>
      </c>
      <c r="AF22">
        <f t="shared" si="9"/>
        <v>0</v>
      </c>
      <c r="AG22">
        <f t="shared" si="10"/>
        <v>0</v>
      </c>
      <c r="AH22">
        <f t="shared" si="11"/>
        <v>0</v>
      </c>
      <c r="AI22">
        <f t="shared" si="12"/>
        <v>0</v>
      </c>
      <c r="AJ22">
        <f t="shared" si="13"/>
        <v>0</v>
      </c>
      <c r="AK22">
        <f t="shared" si="14"/>
        <v>0</v>
      </c>
      <c r="AL22">
        <f t="shared" si="16"/>
        <v>14</v>
      </c>
    </row>
    <row r="23" spans="1:38" x14ac:dyDescent="0.25">
      <c r="A23" t="s">
        <v>319</v>
      </c>
      <c r="D23">
        <v>7</v>
      </c>
      <c r="T23" s="2">
        <v>18</v>
      </c>
      <c r="U23" s="6">
        <v>16</v>
      </c>
      <c r="W23" t="str">
        <f t="shared" si="15"/>
        <v>12A-KING-WILLIAMS</v>
      </c>
      <c r="X23">
        <f t="shared" si="1"/>
        <v>0</v>
      </c>
      <c r="Y23">
        <f t="shared" si="2"/>
        <v>0</v>
      </c>
      <c r="Z23">
        <f t="shared" si="3"/>
        <v>34</v>
      </c>
      <c r="AA23">
        <f t="shared" si="4"/>
        <v>0</v>
      </c>
      <c r="AB23">
        <f t="shared" si="5"/>
        <v>0</v>
      </c>
      <c r="AC23">
        <f t="shared" si="6"/>
        <v>0</v>
      </c>
      <c r="AD23">
        <f t="shared" si="7"/>
        <v>0</v>
      </c>
      <c r="AE23">
        <f t="shared" si="8"/>
        <v>0</v>
      </c>
      <c r="AF23">
        <f t="shared" si="9"/>
        <v>0</v>
      </c>
      <c r="AG23">
        <f t="shared" si="10"/>
        <v>0</v>
      </c>
      <c r="AH23">
        <f t="shared" si="11"/>
        <v>0</v>
      </c>
      <c r="AI23">
        <f t="shared" si="12"/>
        <v>0</v>
      </c>
      <c r="AJ23">
        <f t="shared" si="13"/>
        <v>0</v>
      </c>
      <c r="AK23">
        <f t="shared" si="14"/>
        <v>0</v>
      </c>
      <c r="AL23">
        <f t="shared" si="16"/>
        <v>34</v>
      </c>
    </row>
    <row r="24" spans="1:38" x14ac:dyDescent="0.25">
      <c r="A24" t="s">
        <v>30</v>
      </c>
      <c r="E24">
        <v>19</v>
      </c>
      <c r="T24" s="2">
        <v>19</v>
      </c>
      <c r="U24" s="6">
        <v>15</v>
      </c>
      <c r="W24" t="str">
        <f t="shared" si="15"/>
        <v>12B-KING-WILSON-WILLIAMS</v>
      </c>
      <c r="X24">
        <f t="shared" si="1"/>
        <v>0</v>
      </c>
      <c r="Y24">
        <f t="shared" si="2"/>
        <v>0</v>
      </c>
      <c r="Z24">
        <f t="shared" si="3"/>
        <v>0</v>
      </c>
      <c r="AA24">
        <f t="shared" si="4"/>
        <v>15</v>
      </c>
      <c r="AB24">
        <f t="shared" si="5"/>
        <v>0</v>
      </c>
      <c r="AC24">
        <f t="shared" si="6"/>
        <v>0</v>
      </c>
      <c r="AD24">
        <f t="shared" si="7"/>
        <v>0</v>
      </c>
      <c r="AE24">
        <f t="shared" si="8"/>
        <v>0</v>
      </c>
      <c r="AF24">
        <f t="shared" si="9"/>
        <v>0</v>
      </c>
      <c r="AG24">
        <f t="shared" si="10"/>
        <v>0</v>
      </c>
      <c r="AH24">
        <f t="shared" si="11"/>
        <v>0</v>
      </c>
      <c r="AI24">
        <f t="shared" si="12"/>
        <v>0</v>
      </c>
      <c r="AJ24">
        <f t="shared" si="13"/>
        <v>0</v>
      </c>
      <c r="AK24">
        <f t="shared" si="14"/>
        <v>0</v>
      </c>
      <c r="AL24">
        <f t="shared" si="16"/>
        <v>15</v>
      </c>
    </row>
    <row r="25" spans="1:38" ht="15.75" thickBot="1" x14ac:dyDescent="0.3">
      <c r="A25" t="s">
        <v>39</v>
      </c>
      <c r="D25">
        <v>20</v>
      </c>
      <c r="T25" s="4">
        <v>20</v>
      </c>
      <c r="U25" s="7">
        <v>14</v>
      </c>
      <c r="W25" t="str">
        <f t="shared" si="15"/>
        <v>14B-TAU-ELDON</v>
      </c>
      <c r="X25">
        <f t="shared" si="1"/>
        <v>0</v>
      </c>
      <c r="Y25">
        <f t="shared" si="2"/>
        <v>0</v>
      </c>
      <c r="Z25">
        <f t="shared" si="3"/>
        <v>14</v>
      </c>
      <c r="AA25">
        <f t="shared" si="4"/>
        <v>0</v>
      </c>
      <c r="AB25">
        <f t="shared" si="5"/>
        <v>0</v>
      </c>
      <c r="AC25">
        <f t="shared" si="6"/>
        <v>0</v>
      </c>
      <c r="AD25">
        <f t="shared" si="7"/>
        <v>0</v>
      </c>
      <c r="AE25">
        <f t="shared" si="8"/>
        <v>0</v>
      </c>
      <c r="AF25">
        <f t="shared" si="9"/>
        <v>0</v>
      </c>
      <c r="AG25">
        <f t="shared" si="10"/>
        <v>0</v>
      </c>
      <c r="AH25">
        <f t="shared" si="11"/>
        <v>0</v>
      </c>
      <c r="AI25">
        <f t="shared" si="12"/>
        <v>0</v>
      </c>
      <c r="AJ25">
        <f t="shared" si="13"/>
        <v>0</v>
      </c>
      <c r="AK25">
        <f t="shared" si="14"/>
        <v>0</v>
      </c>
      <c r="AL25">
        <f t="shared" si="16"/>
        <v>14</v>
      </c>
    </row>
    <row r="26" spans="1:38" x14ac:dyDescent="0.25">
      <c r="A26" t="s">
        <v>28</v>
      </c>
      <c r="C26">
        <v>15</v>
      </c>
      <c r="E26">
        <v>17</v>
      </c>
      <c r="U26">
        <f>SUM(U6:U25)+3</f>
        <v>569</v>
      </c>
      <c r="W26" t="str">
        <f t="shared" si="15"/>
        <v>14F-TAU-SCOTLAND</v>
      </c>
      <c r="X26">
        <f t="shared" si="1"/>
        <v>0</v>
      </c>
      <c r="Y26">
        <f t="shared" si="2"/>
        <v>19</v>
      </c>
      <c r="Z26">
        <f t="shared" si="3"/>
        <v>0</v>
      </c>
      <c r="AA26">
        <f t="shared" si="4"/>
        <v>17</v>
      </c>
      <c r="AB26">
        <f t="shared" si="5"/>
        <v>0</v>
      </c>
      <c r="AC26">
        <f t="shared" si="6"/>
        <v>0</v>
      </c>
      <c r="AD26">
        <f t="shared" si="7"/>
        <v>0</v>
      </c>
      <c r="AE26">
        <f t="shared" si="8"/>
        <v>0</v>
      </c>
      <c r="AF26">
        <f t="shared" si="9"/>
        <v>0</v>
      </c>
      <c r="AG26">
        <f t="shared" si="10"/>
        <v>0</v>
      </c>
      <c r="AH26">
        <f t="shared" si="11"/>
        <v>0</v>
      </c>
      <c r="AI26">
        <f t="shared" si="12"/>
        <v>0</v>
      </c>
      <c r="AJ26">
        <f t="shared" si="13"/>
        <v>0</v>
      </c>
      <c r="AK26">
        <f t="shared" si="14"/>
        <v>0</v>
      </c>
      <c r="AL26">
        <f t="shared" si="16"/>
        <v>36</v>
      </c>
    </row>
    <row r="27" spans="1:38" x14ac:dyDescent="0.25">
      <c r="A27" t="s">
        <v>43</v>
      </c>
      <c r="C27">
        <v>14</v>
      </c>
      <c r="W27" t="str">
        <f t="shared" si="15"/>
        <v>15A-LASS-TAGESTANIAN</v>
      </c>
      <c r="X27">
        <f t="shared" si="1"/>
        <v>0</v>
      </c>
      <c r="Y27">
        <f t="shared" si="2"/>
        <v>20</v>
      </c>
      <c r="Z27">
        <f t="shared" si="3"/>
        <v>0</v>
      </c>
      <c r="AA27">
        <f t="shared" si="4"/>
        <v>0</v>
      </c>
      <c r="AB27">
        <f t="shared" si="5"/>
        <v>0</v>
      </c>
      <c r="AC27">
        <f t="shared" si="6"/>
        <v>0</v>
      </c>
      <c r="AD27">
        <f t="shared" si="7"/>
        <v>0</v>
      </c>
      <c r="AE27">
        <f t="shared" si="8"/>
        <v>0</v>
      </c>
      <c r="AF27">
        <f t="shared" si="9"/>
        <v>0</v>
      </c>
      <c r="AG27">
        <f t="shared" si="10"/>
        <v>0</v>
      </c>
      <c r="AH27">
        <f t="shared" si="11"/>
        <v>0</v>
      </c>
      <c r="AI27">
        <f t="shared" si="12"/>
        <v>0</v>
      </c>
      <c r="AJ27">
        <f t="shared" si="13"/>
        <v>0</v>
      </c>
      <c r="AK27">
        <f t="shared" si="14"/>
        <v>0</v>
      </c>
      <c r="AL27">
        <f t="shared" si="16"/>
        <v>20</v>
      </c>
    </row>
    <row r="28" spans="1:38" x14ac:dyDescent="0.25">
      <c r="A28" t="s">
        <v>31</v>
      </c>
      <c r="E28">
        <v>20</v>
      </c>
      <c r="W28" t="str">
        <f t="shared" si="15"/>
        <v>16B-MAN-WILKINSON</v>
      </c>
      <c r="X28">
        <f t="shared" si="1"/>
        <v>0</v>
      </c>
      <c r="Y28">
        <f t="shared" si="2"/>
        <v>0</v>
      </c>
      <c r="Z28">
        <f t="shared" si="3"/>
        <v>0</v>
      </c>
      <c r="AA28">
        <f t="shared" si="4"/>
        <v>14</v>
      </c>
      <c r="AB28">
        <f t="shared" si="5"/>
        <v>0</v>
      </c>
      <c r="AC28">
        <f t="shared" si="6"/>
        <v>0</v>
      </c>
      <c r="AD28">
        <f t="shared" si="7"/>
        <v>0</v>
      </c>
      <c r="AE28">
        <f t="shared" si="8"/>
        <v>0</v>
      </c>
      <c r="AF28">
        <f t="shared" si="9"/>
        <v>0</v>
      </c>
      <c r="AG28">
        <f t="shared" si="10"/>
        <v>0</v>
      </c>
      <c r="AH28">
        <f t="shared" si="11"/>
        <v>0</v>
      </c>
      <c r="AI28">
        <f t="shared" si="12"/>
        <v>0</v>
      </c>
      <c r="AJ28">
        <f t="shared" si="13"/>
        <v>0</v>
      </c>
      <c r="AK28">
        <f t="shared" si="14"/>
        <v>0</v>
      </c>
      <c r="AL28">
        <f t="shared" si="16"/>
        <v>14</v>
      </c>
    </row>
    <row r="29" spans="1:38" x14ac:dyDescent="0.25">
      <c r="A29" t="s">
        <v>44</v>
      </c>
      <c r="B29">
        <v>15</v>
      </c>
      <c r="W29" t="str">
        <f t="shared" si="15"/>
        <v>18B-FSTN-DEMPSTER</v>
      </c>
      <c r="X29">
        <f t="shared" si="1"/>
        <v>19</v>
      </c>
      <c r="Y29">
        <f t="shared" si="2"/>
        <v>0</v>
      </c>
      <c r="Z29">
        <f t="shared" si="3"/>
        <v>0</v>
      </c>
      <c r="AA29">
        <f t="shared" si="4"/>
        <v>0</v>
      </c>
      <c r="AB29">
        <f t="shared" si="5"/>
        <v>0</v>
      </c>
      <c r="AC29">
        <f t="shared" si="6"/>
        <v>0</v>
      </c>
      <c r="AD29">
        <f t="shared" si="7"/>
        <v>0</v>
      </c>
      <c r="AE29">
        <f t="shared" si="8"/>
        <v>0</v>
      </c>
      <c r="AF29">
        <f t="shared" si="9"/>
        <v>0</v>
      </c>
      <c r="AG29">
        <f t="shared" si="10"/>
        <v>0</v>
      </c>
      <c r="AH29">
        <f t="shared" si="11"/>
        <v>0</v>
      </c>
      <c r="AI29">
        <f t="shared" si="12"/>
        <v>0</v>
      </c>
      <c r="AJ29">
        <f t="shared" si="13"/>
        <v>0</v>
      </c>
      <c r="AK29">
        <f t="shared" si="14"/>
        <v>0</v>
      </c>
      <c r="AL29">
        <f t="shared" si="16"/>
        <v>19</v>
      </c>
    </row>
    <row r="30" spans="1:38" x14ac:dyDescent="0.25">
      <c r="A30" t="s">
        <v>34</v>
      </c>
      <c r="B30">
        <v>13</v>
      </c>
      <c r="D30">
        <v>10</v>
      </c>
      <c r="W30" t="str">
        <f t="shared" si="15"/>
        <v>21A-STAF-YOUDALE</v>
      </c>
      <c r="X30">
        <f t="shared" si="1"/>
        <v>22</v>
      </c>
      <c r="Y30">
        <f t="shared" si="2"/>
        <v>0</v>
      </c>
      <c r="Z30">
        <f t="shared" si="3"/>
        <v>28</v>
      </c>
      <c r="AA30">
        <f t="shared" si="4"/>
        <v>0</v>
      </c>
      <c r="AB30">
        <f t="shared" si="5"/>
        <v>0</v>
      </c>
      <c r="AC30">
        <f t="shared" si="6"/>
        <v>0</v>
      </c>
      <c r="AD30">
        <f t="shared" si="7"/>
        <v>0</v>
      </c>
      <c r="AE30">
        <f t="shared" si="8"/>
        <v>0</v>
      </c>
      <c r="AF30">
        <f t="shared" si="9"/>
        <v>0</v>
      </c>
      <c r="AG30">
        <f t="shared" si="10"/>
        <v>0</v>
      </c>
      <c r="AH30">
        <f t="shared" si="11"/>
        <v>0</v>
      </c>
      <c r="AI30">
        <f t="shared" si="12"/>
        <v>0</v>
      </c>
      <c r="AJ30">
        <f t="shared" si="13"/>
        <v>0</v>
      </c>
      <c r="AK30">
        <f t="shared" si="14"/>
        <v>0</v>
      </c>
      <c r="AL30">
        <f t="shared" si="16"/>
        <v>50</v>
      </c>
    </row>
    <row r="31" spans="1:38" x14ac:dyDescent="0.25">
      <c r="A31" t="s">
        <v>38</v>
      </c>
      <c r="B31">
        <v>8</v>
      </c>
      <c r="C31">
        <v>9</v>
      </c>
      <c r="D31">
        <v>19</v>
      </c>
      <c r="W31" t="str">
        <f t="shared" si="15"/>
        <v>23A-HULLB-ZALESKI</v>
      </c>
      <c r="X31">
        <f t="shared" si="1"/>
        <v>33</v>
      </c>
      <c r="Y31">
        <f t="shared" si="2"/>
        <v>31</v>
      </c>
      <c r="Z31">
        <f t="shared" si="3"/>
        <v>15</v>
      </c>
      <c r="AA31">
        <f t="shared" si="4"/>
        <v>0</v>
      </c>
      <c r="AB31">
        <f t="shared" si="5"/>
        <v>0</v>
      </c>
      <c r="AC31">
        <f t="shared" si="6"/>
        <v>0</v>
      </c>
      <c r="AD31">
        <f t="shared" si="7"/>
        <v>0</v>
      </c>
      <c r="AE31">
        <f t="shared" si="8"/>
        <v>0</v>
      </c>
      <c r="AF31">
        <f t="shared" si="9"/>
        <v>0</v>
      </c>
      <c r="AG31">
        <f t="shared" si="10"/>
        <v>0</v>
      </c>
      <c r="AH31">
        <f t="shared" si="11"/>
        <v>0</v>
      </c>
      <c r="AI31">
        <f t="shared" si="12"/>
        <v>0</v>
      </c>
      <c r="AJ31">
        <f t="shared" si="13"/>
        <v>0</v>
      </c>
      <c r="AK31">
        <f t="shared" si="14"/>
        <v>0</v>
      </c>
      <c r="AL31">
        <f t="shared" si="16"/>
        <v>79</v>
      </c>
    </row>
    <row r="32" spans="1:38" x14ac:dyDescent="0.25">
      <c r="A32" t="s">
        <v>45</v>
      </c>
      <c r="C32">
        <v>18</v>
      </c>
      <c r="W32" t="str">
        <f t="shared" si="15"/>
        <v>24A-UPRE-USHER</v>
      </c>
      <c r="X32">
        <f t="shared" si="1"/>
        <v>0</v>
      </c>
      <c r="Y32">
        <f t="shared" si="2"/>
        <v>16</v>
      </c>
      <c r="Z32">
        <f t="shared" si="3"/>
        <v>0</v>
      </c>
      <c r="AA32">
        <f t="shared" si="4"/>
        <v>0</v>
      </c>
      <c r="AB32">
        <f t="shared" si="5"/>
        <v>0</v>
      </c>
      <c r="AC32">
        <f t="shared" si="6"/>
        <v>0</v>
      </c>
      <c r="AD32">
        <f t="shared" si="7"/>
        <v>0</v>
      </c>
      <c r="AE32">
        <f t="shared" si="8"/>
        <v>0</v>
      </c>
      <c r="AF32">
        <f t="shared" si="9"/>
        <v>0</v>
      </c>
      <c r="AG32">
        <f t="shared" si="10"/>
        <v>0</v>
      </c>
      <c r="AH32">
        <f t="shared" si="11"/>
        <v>0</v>
      </c>
      <c r="AI32">
        <f t="shared" si="12"/>
        <v>0</v>
      </c>
      <c r="AJ32">
        <f t="shared" si="13"/>
        <v>0</v>
      </c>
      <c r="AK32">
        <f t="shared" si="14"/>
        <v>0</v>
      </c>
      <c r="AL32">
        <f t="shared" si="16"/>
        <v>16</v>
      </c>
    </row>
    <row r="33" spans="1:38" x14ac:dyDescent="0.25">
      <c r="A33" t="s">
        <v>46</v>
      </c>
      <c r="B33">
        <v>12</v>
      </c>
      <c r="W33" t="str">
        <f t="shared" si="15"/>
        <v>24B-UPRE-DARVILL</v>
      </c>
      <c r="X33">
        <f t="shared" si="1"/>
        <v>24</v>
      </c>
      <c r="Y33">
        <f t="shared" si="2"/>
        <v>0</v>
      </c>
      <c r="Z33">
        <f t="shared" si="3"/>
        <v>0</v>
      </c>
      <c r="AA33">
        <f t="shared" si="4"/>
        <v>0</v>
      </c>
      <c r="AB33">
        <f t="shared" si="5"/>
        <v>0</v>
      </c>
      <c r="AC33">
        <f t="shared" si="6"/>
        <v>0</v>
      </c>
      <c r="AD33">
        <f t="shared" si="7"/>
        <v>0</v>
      </c>
      <c r="AE33">
        <f t="shared" si="8"/>
        <v>0</v>
      </c>
      <c r="AF33">
        <f t="shared" si="9"/>
        <v>0</v>
      </c>
      <c r="AG33">
        <f t="shared" si="10"/>
        <v>0</v>
      </c>
      <c r="AH33">
        <f t="shared" si="11"/>
        <v>0</v>
      </c>
      <c r="AI33">
        <f t="shared" si="12"/>
        <v>0</v>
      </c>
      <c r="AJ33">
        <f t="shared" si="13"/>
        <v>0</v>
      </c>
      <c r="AK33">
        <f t="shared" si="14"/>
        <v>0</v>
      </c>
      <c r="AL33">
        <f t="shared" si="16"/>
        <v>24</v>
      </c>
    </row>
    <row r="34" spans="1:38" x14ac:dyDescent="0.25">
      <c r="A34" t="s">
        <v>29</v>
      </c>
      <c r="E34">
        <v>18</v>
      </c>
      <c r="W34" t="str">
        <f t="shared" si="15"/>
        <v>24C-UPRE-BENNETT-SANTAMARIA</v>
      </c>
      <c r="X34">
        <f t="shared" si="1"/>
        <v>0</v>
      </c>
      <c r="Y34">
        <f t="shared" si="2"/>
        <v>0</v>
      </c>
      <c r="Z34">
        <f t="shared" si="3"/>
        <v>0</v>
      </c>
      <c r="AA34">
        <f t="shared" si="4"/>
        <v>16</v>
      </c>
      <c r="AB34">
        <f t="shared" si="5"/>
        <v>0</v>
      </c>
      <c r="AC34">
        <f t="shared" si="6"/>
        <v>0</v>
      </c>
      <c r="AD34">
        <f t="shared" si="7"/>
        <v>0</v>
      </c>
      <c r="AE34">
        <f t="shared" si="8"/>
        <v>0</v>
      </c>
      <c r="AF34">
        <f t="shared" si="9"/>
        <v>0</v>
      </c>
      <c r="AG34">
        <f t="shared" si="10"/>
        <v>0</v>
      </c>
      <c r="AH34">
        <f t="shared" si="11"/>
        <v>0</v>
      </c>
      <c r="AI34">
        <f t="shared" si="12"/>
        <v>0</v>
      </c>
      <c r="AJ34">
        <f t="shared" si="13"/>
        <v>0</v>
      </c>
      <c r="AK34">
        <f t="shared" si="14"/>
        <v>0</v>
      </c>
      <c r="AL34">
        <f t="shared" si="16"/>
        <v>16</v>
      </c>
    </row>
    <row r="35" spans="1:38" x14ac:dyDescent="0.25">
      <c r="A35" t="s">
        <v>37</v>
      </c>
      <c r="C35">
        <v>10</v>
      </c>
      <c r="D35">
        <v>17</v>
      </c>
      <c r="W35" t="str">
        <f t="shared" si="15"/>
        <v>27C-HERTS-ULATE</v>
      </c>
      <c r="X35">
        <f t="shared" si="1"/>
        <v>0</v>
      </c>
      <c r="Y35">
        <f t="shared" si="2"/>
        <v>28</v>
      </c>
      <c r="Z35">
        <f t="shared" si="3"/>
        <v>17</v>
      </c>
      <c r="AA35">
        <f t="shared" si="4"/>
        <v>0</v>
      </c>
      <c r="AB35">
        <f t="shared" si="5"/>
        <v>0</v>
      </c>
      <c r="AC35">
        <f t="shared" si="6"/>
        <v>0</v>
      </c>
      <c r="AD35">
        <f t="shared" si="7"/>
        <v>0</v>
      </c>
      <c r="AE35">
        <f t="shared" si="8"/>
        <v>0</v>
      </c>
      <c r="AF35">
        <f t="shared" si="9"/>
        <v>0</v>
      </c>
      <c r="AG35">
        <f t="shared" si="10"/>
        <v>0</v>
      </c>
      <c r="AH35">
        <f t="shared" si="11"/>
        <v>0</v>
      </c>
      <c r="AI35">
        <f t="shared" si="12"/>
        <v>0</v>
      </c>
      <c r="AJ35">
        <f t="shared" si="13"/>
        <v>0</v>
      </c>
      <c r="AK35">
        <f t="shared" si="14"/>
        <v>0</v>
      </c>
      <c r="AL35">
        <f t="shared" si="16"/>
        <v>45</v>
      </c>
    </row>
    <row r="36" spans="1:38" x14ac:dyDescent="0.25">
      <c r="A36" t="s">
        <v>21</v>
      </c>
      <c r="B36">
        <v>10</v>
      </c>
      <c r="E36">
        <v>10</v>
      </c>
      <c r="W36" t="str">
        <f t="shared" si="15"/>
        <v>35A-UCD-GARRETT</v>
      </c>
      <c r="X36">
        <f t="shared" si="1"/>
        <v>29</v>
      </c>
      <c r="Y36">
        <f t="shared" si="2"/>
        <v>0</v>
      </c>
      <c r="Z36">
        <f t="shared" si="3"/>
        <v>0</v>
      </c>
      <c r="AA36">
        <f t="shared" si="4"/>
        <v>28</v>
      </c>
      <c r="AB36">
        <f t="shared" si="5"/>
        <v>0</v>
      </c>
      <c r="AC36">
        <f t="shared" si="6"/>
        <v>0</v>
      </c>
      <c r="AD36">
        <f t="shared" si="7"/>
        <v>0</v>
      </c>
      <c r="AE36">
        <f t="shared" si="8"/>
        <v>0</v>
      </c>
      <c r="AF36">
        <f t="shared" si="9"/>
        <v>0</v>
      </c>
      <c r="AG36">
        <f t="shared" si="10"/>
        <v>0</v>
      </c>
      <c r="AH36">
        <f t="shared" si="11"/>
        <v>0</v>
      </c>
      <c r="AI36">
        <f t="shared" si="12"/>
        <v>0</v>
      </c>
      <c r="AJ36">
        <f t="shared" si="13"/>
        <v>0</v>
      </c>
      <c r="AK36">
        <f t="shared" si="14"/>
        <v>0</v>
      </c>
      <c r="AL36">
        <f t="shared" si="16"/>
        <v>57</v>
      </c>
    </row>
    <row r="37" spans="1:38" x14ac:dyDescent="0.25">
      <c r="A37" t="s">
        <v>36</v>
      </c>
      <c r="C37">
        <v>11</v>
      </c>
      <c r="D37">
        <v>15</v>
      </c>
      <c r="W37" t="str">
        <f t="shared" si="15"/>
        <v>35B-UCD-ZIELINSKI</v>
      </c>
      <c r="X37">
        <f t="shared" ref="X37:X68" si="17">_xlfn.IFNA(LOOKUP(B37,$T$6:$T$25,$U$6:$U$25),0)+COUNTIF(B$1:B$3,$W37)</f>
        <v>0</v>
      </c>
      <c r="Y37">
        <f t="shared" ref="Y37:Y68" si="18">_xlfn.IFNA(LOOKUP(C37,$T$6:$T$25,$U$6:$U$25),0)+COUNTIF(C$1:C$3,$W37)</f>
        <v>26</v>
      </c>
      <c r="Z37">
        <f t="shared" ref="Z37:Z68" si="19">_xlfn.IFNA(LOOKUP(D37,$T$6:$T$25,$U$6:$U$25),0)+COUNTIF(D$1:D$3,$W37)</f>
        <v>19</v>
      </c>
      <c r="AA37">
        <f t="shared" ref="AA37:AA68" si="20">_xlfn.IFNA(LOOKUP(E37,$T$6:$T$25,$U$6:$U$25),0)+COUNTIF(E$1:E$3,$W37)</f>
        <v>0</v>
      </c>
      <c r="AB37">
        <f t="shared" ref="AB37:AB68" si="21">_xlfn.IFNA(LOOKUP(F37,$T$6:$T$25,$U$6:$U$25),0)+COUNTIF(F$1:F$3,$W37)</f>
        <v>0</v>
      </c>
      <c r="AC37">
        <f t="shared" ref="AC37:AC68" si="22">_xlfn.IFNA(LOOKUP(G37,$T$6:$T$25,$U$6:$U$25),0)+COUNTIF(G$1:G$3,$W37)</f>
        <v>0</v>
      </c>
      <c r="AD37">
        <f t="shared" ref="AD37:AD68" si="23">_xlfn.IFNA(LOOKUP(H37,$T$6:$T$25,$U$6:$U$25),0)+COUNTIF(H$1:H$3,$W37)</f>
        <v>0</v>
      </c>
      <c r="AE37">
        <f t="shared" ref="AE37:AE68" si="24">_xlfn.IFNA(LOOKUP(I37,$T$6:$T$25,$U$6:$U$25),0)+COUNTIF(I$1:I$3,$W37)</f>
        <v>0</v>
      </c>
      <c r="AF37">
        <f t="shared" ref="AF37:AF68" si="25">_xlfn.IFNA(LOOKUP(J37,$T$6:$T$25,$U$6:$U$25),0)+COUNTIF(J$1:J$3,$W37)</f>
        <v>0</v>
      </c>
      <c r="AG37">
        <f t="shared" ref="AG37:AG68" si="26">_xlfn.IFNA(LOOKUP(K37,$T$6:$T$25,$U$6:$U$25),0)+COUNTIF(K$1:K$3,$W37)</f>
        <v>0</v>
      </c>
      <c r="AH37">
        <f t="shared" ref="AH37:AH68" si="27">_xlfn.IFNA(LOOKUP(L37,$T$6:$T$25,$U$6:$U$25),0)+COUNTIF(L$1:L$3,$W37)</f>
        <v>0</v>
      </c>
      <c r="AI37">
        <f t="shared" ref="AI37:AI68" si="28">_xlfn.IFNA(LOOKUP(M37,$T$6:$T$25,$U$6:$U$25),0)+COUNTIF(M$1:M$3,$W37)</f>
        <v>0</v>
      </c>
      <c r="AJ37">
        <f t="shared" ref="AJ37:AJ68" si="29">_xlfn.IFNA(LOOKUP(N37,$T$6:$T$25,$U$6:$U$25),0)+COUNTIF(N$1:N$3,$W37)</f>
        <v>0</v>
      </c>
      <c r="AK37">
        <f t="shared" ref="AK37:AK68" si="30">_xlfn.IFNA(LOOKUP(O37,$T$6:$T$25,$U$6:$U$25),0)+COUNTIF(O$1:O$3,$W37)</f>
        <v>0</v>
      </c>
      <c r="AL37">
        <f t="shared" si="16"/>
        <v>45</v>
      </c>
    </row>
    <row r="38" spans="1:38" x14ac:dyDescent="0.25">
      <c r="A38" t="s">
        <v>33</v>
      </c>
      <c r="B38">
        <v>20</v>
      </c>
      <c r="D38">
        <v>8</v>
      </c>
      <c r="W38" t="str">
        <f t="shared" si="15"/>
        <v>36B-MTU-O'SHEA</v>
      </c>
      <c r="X38">
        <f t="shared" si="17"/>
        <v>14</v>
      </c>
      <c r="Y38">
        <f t="shared" si="18"/>
        <v>0</v>
      </c>
      <c r="Z38">
        <f t="shared" si="19"/>
        <v>32</v>
      </c>
      <c r="AA38">
        <f t="shared" si="20"/>
        <v>0</v>
      </c>
      <c r="AB38">
        <f t="shared" si="21"/>
        <v>0</v>
      </c>
      <c r="AC38">
        <f t="shared" si="22"/>
        <v>0</v>
      </c>
      <c r="AD38">
        <f t="shared" si="23"/>
        <v>0</v>
      </c>
      <c r="AE38">
        <f t="shared" si="24"/>
        <v>0</v>
      </c>
      <c r="AF38">
        <f t="shared" si="25"/>
        <v>0</v>
      </c>
      <c r="AG38">
        <f t="shared" si="26"/>
        <v>0</v>
      </c>
      <c r="AH38">
        <f t="shared" si="27"/>
        <v>0</v>
      </c>
      <c r="AI38">
        <f t="shared" si="28"/>
        <v>0</v>
      </c>
      <c r="AJ38">
        <f t="shared" si="29"/>
        <v>0</v>
      </c>
      <c r="AK38">
        <f t="shared" si="30"/>
        <v>0</v>
      </c>
      <c r="AL38">
        <f t="shared" si="16"/>
        <v>46</v>
      </c>
    </row>
    <row r="39" spans="1:38" x14ac:dyDescent="0.25">
      <c r="A39" t="s">
        <v>18</v>
      </c>
      <c r="B39">
        <v>17</v>
      </c>
      <c r="E39">
        <v>7</v>
      </c>
      <c r="W39" t="str">
        <f t="shared" si="15"/>
        <v>37A-POLYU-LAM</v>
      </c>
      <c r="X39">
        <f t="shared" si="17"/>
        <v>17</v>
      </c>
      <c r="Y39">
        <f t="shared" si="18"/>
        <v>0</v>
      </c>
      <c r="Z39">
        <f t="shared" si="19"/>
        <v>0</v>
      </c>
      <c r="AA39">
        <f t="shared" si="20"/>
        <v>34</v>
      </c>
      <c r="AB39">
        <f t="shared" si="21"/>
        <v>0</v>
      </c>
      <c r="AC39">
        <f t="shared" si="22"/>
        <v>0</v>
      </c>
      <c r="AD39">
        <f t="shared" si="23"/>
        <v>0</v>
      </c>
      <c r="AE39">
        <f t="shared" si="24"/>
        <v>0</v>
      </c>
      <c r="AF39">
        <f t="shared" si="25"/>
        <v>0</v>
      </c>
      <c r="AG39">
        <f t="shared" si="26"/>
        <v>0</v>
      </c>
      <c r="AH39">
        <f t="shared" si="27"/>
        <v>0</v>
      </c>
      <c r="AI39">
        <f t="shared" si="28"/>
        <v>0</v>
      </c>
      <c r="AJ39">
        <f t="shared" si="29"/>
        <v>0</v>
      </c>
      <c r="AK39">
        <f t="shared" si="30"/>
        <v>0</v>
      </c>
      <c r="AL39">
        <f t="shared" si="16"/>
        <v>51</v>
      </c>
    </row>
    <row r="40" spans="1:38" x14ac:dyDescent="0.25">
      <c r="A40" t="s">
        <v>23</v>
      </c>
      <c r="B40">
        <v>6</v>
      </c>
      <c r="D40">
        <v>14</v>
      </c>
      <c r="E40">
        <v>12</v>
      </c>
      <c r="W40" t="str">
        <f t="shared" si="15"/>
        <v>38C-EXET-PRITCHARD</v>
      </c>
      <c r="X40">
        <f t="shared" si="17"/>
        <v>36</v>
      </c>
      <c r="Y40">
        <f t="shared" si="18"/>
        <v>0</v>
      </c>
      <c r="Z40">
        <f t="shared" si="19"/>
        <v>20</v>
      </c>
      <c r="AA40">
        <f t="shared" si="20"/>
        <v>24</v>
      </c>
      <c r="AB40">
        <f t="shared" si="21"/>
        <v>0</v>
      </c>
      <c r="AC40">
        <f t="shared" si="22"/>
        <v>0</v>
      </c>
      <c r="AD40">
        <f t="shared" si="23"/>
        <v>0</v>
      </c>
      <c r="AE40">
        <f t="shared" si="24"/>
        <v>0</v>
      </c>
      <c r="AF40">
        <f t="shared" si="25"/>
        <v>0</v>
      </c>
      <c r="AG40">
        <f t="shared" si="26"/>
        <v>0</v>
      </c>
      <c r="AH40">
        <f t="shared" si="27"/>
        <v>0</v>
      </c>
      <c r="AI40">
        <f t="shared" si="28"/>
        <v>0</v>
      </c>
      <c r="AJ40">
        <f t="shared" si="29"/>
        <v>0</v>
      </c>
      <c r="AK40">
        <f t="shared" si="30"/>
        <v>0</v>
      </c>
      <c r="AL40">
        <f t="shared" si="16"/>
        <v>80</v>
      </c>
    </row>
    <row r="41" spans="1:38" x14ac:dyDescent="0.25">
      <c r="A41" t="s">
        <v>47</v>
      </c>
      <c r="B41">
        <v>2</v>
      </c>
      <c r="W41" t="str">
        <f t="shared" si="15"/>
        <v>40A-VIGO-COSTAS</v>
      </c>
      <c r="X41">
        <f t="shared" si="17"/>
        <v>46</v>
      </c>
      <c r="Y41">
        <f t="shared" si="18"/>
        <v>0</v>
      </c>
      <c r="Z41">
        <f t="shared" si="19"/>
        <v>0</v>
      </c>
      <c r="AA41">
        <f t="shared" si="20"/>
        <v>0</v>
      </c>
      <c r="AB41">
        <f t="shared" si="21"/>
        <v>0</v>
      </c>
      <c r="AC41">
        <f t="shared" si="22"/>
        <v>0</v>
      </c>
      <c r="AD41">
        <f t="shared" si="23"/>
        <v>0</v>
      </c>
      <c r="AE41">
        <f t="shared" si="24"/>
        <v>0</v>
      </c>
      <c r="AF41">
        <f t="shared" si="25"/>
        <v>0</v>
      </c>
      <c r="AG41">
        <f t="shared" si="26"/>
        <v>0</v>
      </c>
      <c r="AH41">
        <f t="shared" si="27"/>
        <v>0</v>
      </c>
      <c r="AI41">
        <f t="shared" si="28"/>
        <v>0</v>
      </c>
      <c r="AJ41">
        <f t="shared" si="29"/>
        <v>0</v>
      </c>
      <c r="AK41">
        <f t="shared" si="30"/>
        <v>0</v>
      </c>
      <c r="AL41">
        <f t="shared" si="16"/>
        <v>46</v>
      </c>
    </row>
    <row r="42" spans="1:38" x14ac:dyDescent="0.25">
      <c r="A42" t="s">
        <v>48</v>
      </c>
      <c r="C42">
        <v>1</v>
      </c>
      <c r="W42" t="str">
        <f t="shared" si="15"/>
        <v>40B-VIGO-VEIRO</v>
      </c>
      <c r="X42">
        <f t="shared" si="17"/>
        <v>0</v>
      </c>
      <c r="Y42">
        <f t="shared" si="18"/>
        <v>50</v>
      </c>
      <c r="Z42">
        <f t="shared" si="19"/>
        <v>0</v>
      </c>
      <c r="AA42">
        <f t="shared" si="20"/>
        <v>0</v>
      </c>
      <c r="AB42">
        <f t="shared" si="21"/>
        <v>0</v>
      </c>
      <c r="AC42">
        <f t="shared" si="22"/>
        <v>0</v>
      </c>
      <c r="AD42">
        <f t="shared" si="23"/>
        <v>0</v>
      </c>
      <c r="AE42">
        <f t="shared" si="24"/>
        <v>0</v>
      </c>
      <c r="AF42">
        <f t="shared" si="25"/>
        <v>0</v>
      </c>
      <c r="AG42">
        <f t="shared" si="26"/>
        <v>0</v>
      </c>
      <c r="AH42">
        <f t="shared" si="27"/>
        <v>0</v>
      </c>
      <c r="AI42">
        <f t="shared" si="28"/>
        <v>0</v>
      </c>
      <c r="AJ42">
        <f t="shared" si="29"/>
        <v>0</v>
      </c>
      <c r="AK42">
        <f t="shared" si="30"/>
        <v>0</v>
      </c>
      <c r="AL42">
        <f t="shared" si="16"/>
        <v>50</v>
      </c>
    </row>
    <row r="43" spans="1:38" x14ac:dyDescent="0.25">
      <c r="A43" t="s">
        <v>22</v>
      </c>
      <c r="B43">
        <v>19</v>
      </c>
      <c r="C43">
        <v>8</v>
      </c>
      <c r="D43">
        <v>18</v>
      </c>
      <c r="E43">
        <v>11</v>
      </c>
      <c r="W43" t="str">
        <f t="shared" si="15"/>
        <v>41A-RBRT-CHENG</v>
      </c>
      <c r="X43">
        <f t="shared" si="17"/>
        <v>15</v>
      </c>
      <c r="Y43">
        <f t="shared" si="18"/>
        <v>32</v>
      </c>
      <c r="Z43">
        <f t="shared" si="19"/>
        <v>16</v>
      </c>
      <c r="AA43">
        <f t="shared" si="20"/>
        <v>26</v>
      </c>
      <c r="AB43">
        <f t="shared" si="21"/>
        <v>0</v>
      </c>
      <c r="AC43">
        <f t="shared" si="22"/>
        <v>0</v>
      </c>
      <c r="AD43">
        <f t="shared" si="23"/>
        <v>0</v>
      </c>
      <c r="AE43">
        <f t="shared" si="24"/>
        <v>0</v>
      </c>
      <c r="AF43">
        <f t="shared" si="25"/>
        <v>0</v>
      </c>
      <c r="AG43">
        <f t="shared" si="26"/>
        <v>0</v>
      </c>
      <c r="AH43">
        <f t="shared" si="27"/>
        <v>0</v>
      </c>
      <c r="AI43">
        <f t="shared" si="28"/>
        <v>0</v>
      </c>
      <c r="AJ43">
        <f t="shared" si="29"/>
        <v>0</v>
      </c>
      <c r="AK43">
        <f t="shared" si="30"/>
        <v>0</v>
      </c>
      <c r="AL43">
        <f t="shared" si="16"/>
        <v>89</v>
      </c>
    </row>
    <row r="44" spans="1:38" x14ac:dyDescent="0.25">
      <c r="A44" t="s">
        <v>35</v>
      </c>
      <c r="B44">
        <v>11</v>
      </c>
      <c r="D44">
        <v>11</v>
      </c>
      <c r="W44" t="str">
        <f t="shared" si="15"/>
        <v>43A-BATH-DOORGEEST</v>
      </c>
      <c r="X44">
        <f t="shared" si="17"/>
        <v>26</v>
      </c>
      <c r="Y44">
        <f t="shared" si="18"/>
        <v>0</v>
      </c>
      <c r="Z44">
        <f t="shared" si="19"/>
        <v>26</v>
      </c>
      <c r="AA44">
        <f t="shared" si="20"/>
        <v>0</v>
      </c>
      <c r="AB44">
        <f t="shared" si="21"/>
        <v>0</v>
      </c>
      <c r="AC44">
        <f t="shared" si="22"/>
        <v>0</v>
      </c>
      <c r="AD44">
        <f t="shared" si="23"/>
        <v>0</v>
      </c>
      <c r="AE44">
        <f t="shared" si="24"/>
        <v>0</v>
      </c>
      <c r="AF44">
        <f t="shared" si="25"/>
        <v>0</v>
      </c>
      <c r="AG44">
        <f t="shared" si="26"/>
        <v>0</v>
      </c>
      <c r="AH44">
        <f t="shared" si="27"/>
        <v>0</v>
      </c>
      <c r="AI44">
        <f t="shared" si="28"/>
        <v>0</v>
      </c>
      <c r="AJ44">
        <f t="shared" si="29"/>
        <v>0</v>
      </c>
      <c r="AK44">
        <f t="shared" si="30"/>
        <v>0</v>
      </c>
      <c r="AL44">
        <f t="shared" si="16"/>
        <v>52</v>
      </c>
    </row>
    <row r="45" spans="1:38" x14ac:dyDescent="0.25">
      <c r="A45" t="s">
        <v>49</v>
      </c>
      <c r="C45">
        <v>7</v>
      </c>
      <c r="W45" t="str">
        <f t="shared" si="15"/>
        <v>43B-BATH-SLIJEPCEVIC</v>
      </c>
      <c r="X45">
        <f t="shared" si="17"/>
        <v>0</v>
      </c>
      <c r="Y45">
        <f t="shared" si="18"/>
        <v>34</v>
      </c>
      <c r="Z45">
        <f t="shared" si="19"/>
        <v>0</v>
      </c>
      <c r="AA45">
        <f t="shared" si="20"/>
        <v>0</v>
      </c>
      <c r="AB45">
        <f t="shared" si="21"/>
        <v>0</v>
      </c>
      <c r="AC45">
        <f t="shared" si="22"/>
        <v>0</v>
      </c>
      <c r="AD45">
        <f t="shared" si="23"/>
        <v>0</v>
      </c>
      <c r="AE45">
        <f t="shared" si="24"/>
        <v>0</v>
      </c>
      <c r="AF45">
        <f t="shared" si="25"/>
        <v>0</v>
      </c>
      <c r="AG45">
        <f t="shared" si="26"/>
        <v>0</v>
      </c>
      <c r="AH45">
        <f t="shared" si="27"/>
        <v>0</v>
      </c>
      <c r="AI45">
        <f t="shared" si="28"/>
        <v>0</v>
      </c>
      <c r="AJ45">
        <f t="shared" si="29"/>
        <v>0</v>
      </c>
      <c r="AK45">
        <f t="shared" si="30"/>
        <v>0</v>
      </c>
      <c r="AL45">
        <f t="shared" si="16"/>
        <v>34</v>
      </c>
    </row>
    <row r="46" spans="1:38" x14ac:dyDescent="0.25">
      <c r="A46" t="s">
        <v>41</v>
      </c>
      <c r="E46">
        <v>5</v>
      </c>
      <c r="W46" t="str">
        <f t="shared" si="15"/>
        <v>43C-BATH-KHAN</v>
      </c>
      <c r="X46">
        <f t="shared" si="17"/>
        <v>0</v>
      </c>
      <c r="Y46">
        <f t="shared" si="18"/>
        <v>0</v>
      </c>
      <c r="Z46">
        <f t="shared" si="19"/>
        <v>0</v>
      </c>
      <c r="AA46">
        <f t="shared" si="20"/>
        <v>38</v>
      </c>
      <c r="AB46">
        <f t="shared" si="21"/>
        <v>0</v>
      </c>
      <c r="AC46">
        <f t="shared" si="22"/>
        <v>0</v>
      </c>
      <c r="AD46">
        <f t="shared" si="23"/>
        <v>0</v>
      </c>
      <c r="AE46">
        <f t="shared" si="24"/>
        <v>0</v>
      </c>
      <c r="AF46">
        <f t="shared" si="25"/>
        <v>0</v>
      </c>
      <c r="AG46">
        <f t="shared" si="26"/>
        <v>0</v>
      </c>
      <c r="AH46">
        <f t="shared" si="27"/>
        <v>0</v>
      </c>
      <c r="AI46">
        <f t="shared" si="28"/>
        <v>0</v>
      </c>
      <c r="AJ46">
        <f t="shared" si="29"/>
        <v>0</v>
      </c>
      <c r="AK46">
        <f t="shared" si="30"/>
        <v>0</v>
      </c>
      <c r="AL46">
        <f t="shared" si="16"/>
        <v>38</v>
      </c>
    </row>
    <row r="47" spans="1:38" x14ac:dyDescent="0.25">
      <c r="A47" t="s">
        <v>19</v>
      </c>
      <c r="B47">
        <v>1</v>
      </c>
      <c r="D47">
        <v>5</v>
      </c>
      <c r="E47">
        <v>8</v>
      </c>
      <c r="W47" t="str">
        <f t="shared" si="15"/>
        <v>48A-UPRAF-DZIUBA</v>
      </c>
      <c r="X47">
        <f t="shared" si="17"/>
        <v>50</v>
      </c>
      <c r="Y47">
        <f t="shared" si="18"/>
        <v>0</v>
      </c>
      <c r="Z47">
        <f t="shared" si="19"/>
        <v>39</v>
      </c>
      <c r="AA47">
        <f t="shared" si="20"/>
        <v>32</v>
      </c>
      <c r="AB47">
        <f t="shared" si="21"/>
        <v>0</v>
      </c>
      <c r="AC47">
        <f t="shared" si="22"/>
        <v>0</v>
      </c>
      <c r="AD47">
        <f t="shared" si="23"/>
        <v>0</v>
      </c>
      <c r="AE47">
        <f t="shared" si="24"/>
        <v>0</v>
      </c>
      <c r="AF47">
        <f t="shared" si="25"/>
        <v>0</v>
      </c>
      <c r="AG47">
        <f t="shared" si="26"/>
        <v>0</v>
      </c>
      <c r="AH47">
        <f t="shared" si="27"/>
        <v>0</v>
      </c>
      <c r="AI47">
        <f t="shared" si="28"/>
        <v>0</v>
      </c>
      <c r="AJ47">
        <f t="shared" si="29"/>
        <v>0</v>
      </c>
      <c r="AK47">
        <f t="shared" si="30"/>
        <v>0</v>
      </c>
      <c r="AL47">
        <f t="shared" si="16"/>
        <v>121</v>
      </c>
    </row>
    <row r="48" spans="1:38" x14ac:dyDescent="0.25">
      <c r="A48" t="s">
        <v>50</v>
      </c>
      <c r="C48">
        <v>19</v>
      </c>
      <c r="W48" t="str">
        <f t="shared" si="15"/>
        <v>48B-UPRAF-SHAH</v>
      </c>
      <c r="X48">
        <f t="shared" si="17"/>
        <v>0</v>
      </c>
      <c r="Y48">
        <f t="shared" si="18"/>
        <v>15</v>
      </c>
      <c r="Z48">
        <f t="shared" si="19"/>
        <v>0</v>
      </c>
      <c r="AA48">
        <f t="shared" si="20"/>
        <v>0</v>
      </c>
      <c r="AB48">
        <f t="shared" si="21"/>
        <v>0</v>
      </c>
      <c r="AC48">
        <f t="shared" si="22"/>
        <v>0</v>
      </c>
      <c r="AD48">
        <f t="shared" si="23"/>
        <v>0</v>
      </c>
      <c r="AE48">
        <f t="shared" si="24"/>
        <v>0</v>
      </c>
      <c r="AF48">
        <f t="shared" si="25"/>
        <v>0</v>
      </c>
      <c r="AG48">
        <f t="shared" si="26"/>
        <v>0</v>
      </c>
      <c r="AH48">
        <f t="shared" si="27"/>
        <v>0</v>
      </c>
      <c r="AI48">
        <f t="shared" si="28"/>
        <v>0</v>
      </c>
      <c r="AJ48">
        <f t="shared" si="29"/>
        <v>0</v>
      </c>
      <c r="AK48">
        <f t="shared" si="30"/>
        <v>0</v>
      </c>
      <c r="AL48">
        <f t="shared" si="16"/>
        <v>15</v>
      </c>
    </row>
    <row r="49" spans="1:38" x14ac:dyDescent="0.25">
      <c r="A49" t="s">
        <v>20</v>
      </c>
      <c r="E49">
        <v>9</v>
      </c>
      <c r="W49" t="str">
        <f t="shared" si="15"/>
        <v>50A-LJMU-MELLIAR-SMITH</v>
      </c>
      <c r="X49">
        <f t="shared" si="17"/>
        <v>0</v>
      </c>
      <c r="Y49">
        <f t="shared" si="18"/>
        <v>0</v>
      </c>
      <c r="Z49">
        <f t="shared" si="19"/>
        <v>0</v>
      </c>
      <c r="AA49">
        <f t="shared" si="20"/>
        <v>30</v>
      </c>
      <c r="AB49">
        <f t="shared" si="21"/>
        <v>0</v>
      </c>
      <c r="AC49">
        <f t="shared" si="22"/>
        <v>0</v>
      </c>
      <c r="AD49">
        <f t="shared" si="23"/>
        <v>0</v>
      </c>
      <c r="AE49">
        <f t="shared" si="24"/>
        <v>0</v>
      </c>
      <c r="AF49">
        <f t="shared" si="25"/>
        <v>0</v>
      </c>
      <c r="AG49">
        <f t="shared" si="26"/>
        <v>0</v>
      </c>
      <c r="AH49">
        <f t="shared" si="27"/>
        <v>0</v>
      </c>
      <c r="AI49">
        <f t="shared" si="28"/>
        <v>0</v>
      </c>
      <c r="AJ49">
        <f t="shared" si="29"/>
        <v>0</v>
      </c>
      <c r="AK49">
        <f t="shared" si="30"/>
        <v>0</v>
      </c>
      <c r="AL49">
        <f t="shared" si="16"/>
        <v>30</v>
      </c>
    </row>
    <row r="50" spans="1:38" x14ac:dyDescent="0.25">
      <c r="A50" t="s">
        <v>51</v>
      </c>
      <c r="C50">
        <v>12</v>
      </c>
      <c r="W50" t="str">
        <f t="shared" si="15"/>
        <v>50B-LJMU-CHAMBERS</v>
      </c>
      <c r="X50">
        <f t="shared" si="17"/>
        <v>0</v>
      </c>
      <c r="Y50">
        <f t="shared" si="18"/>
        <v>24</v>
      </c>
      <c r="Z50">
        <f t="shared" si="19"/>
        <v>0</v>
      </c>
      <c r="AA50">
        <f t="shared" si="20"/>
        <v>0</v>
      </c>
      <c r="AB50">
        <f t="shared" si="21"/>
        <v>0</v>
      </c>
      <c r="AC50">
        <f t="shared" si="22"/>
        <v>0</v>
      </c>
      <c r="AD50">
        <f t="shared" si="23"/>
        <v>0</v>
      </c>
      <c r="AE50">
        <f t="shared" si="24"/>
        <v>0</v>
      </c>
      <c r="AF50">
        <f t="shared" si="25"/>
        <v>0</v>
      </c>
      <c r="AG50">
        <f t="shared" si="26"/>
        <v>0</v>
      </c>
      <c r="AH50">
        <f t="shared" si="27"/>
        <v>0</v>
      </c>
      <c r="AI50">
        <f t="shared" si="28"/>
        <v>0</v>
      </c>
      <c r="AJ50">
        <f t="shared" si="29"/>
        <v>0</v>
      </c>
      <c r="AK50">
        <f t="shared" si="30"/>
        <v>0</v>
      </c>
      <c r="AL50">
        <f t="shared" si="16"/>
        <v>24</v>
      </c>
    </row>
    <row r="51" spans="1:38" x14ac:dyDescent="0.25">
      <c r="A51" t="s">
        <v>32</v>
      </c>
      <c r="D51">
        <v>4</v>
      </c>
      <c r="W51" t="str">
        <f t="shared" si="15"/>
        <v>50C-LJMU-SCHAPENDONK</v>
      </c>
      <c r="X51">
        <f t="shared" si="17"/>
        <v>0</v>
      </c>
      <c r="Y51">
        <f t="shared" si="18"/>
        <v>0</v>
      </c>
      <c r="Z51">
        <f t="shared" si="19"/>
        <v>40</v>
      </c>
      <c r="AA51">
        <f t="shared" si="20"/>
        <v>0</v>
      </c>
      <c r="AB51">
        <f t="shared" si="21"/>
        <v>0</v>
      </c>
      <c r="AC51">
        <f t="shared" si="22"/>
        <v>0</v>
      </c>
      <c r="AD51">
        <f t="shared" si="23"/>
        <v>0</v>
      </c>
      <c r="AE51">
        <f t="shared" si="24"/>
        <v>0</v>
      </c>
      <c r="AF51">
        <f t="shared" si="25"/>
        <v>0</v>
      </c>
      <c r="AG51">
        <f t="shared" si="26"/>
        <v>0</v>
      </c>
      <c r="AH51">
        <f t="shared" si="27"/>
        <v>0</v>
      </c>
      <c r="AI51">
        <f t="shared" si="28"/>
        <v>0</v>
      </c>
      <c r="AJ51">
        <f t="shared" si="29"/>
        <v>0</v>
      </c>
      <c r="AK51">
        <f t="shared" si="30"/>
        <v>0</v>
      </c>
      <c r="AL51">
        <f t="shared" si="16"/>
        <v>40</v>
      </c>
    </row>
    <row r="52" spans="1:38" x14ac:dyDescent="0.25">
      <c r="A52" t="s">
        <v>27</v>
      </c>
      <c r="C52">
        <v>5</v>
      </c>
      <c r="E52">
        <v>16</v>
      </c>
      <c r="W52" t="str">
        <f t="shared" si="15"/>
        <v>51A-QMFS-ALOJ</v>
      </c>
      <c r="X52">
        <f t="shared" si="17"/>
        <v>0</v>
      </c>
      <c r="Y52">
        <f t="shared" si="18"/>
        <v>38</v>
      </c>
      <c r="Z52">
        <f t="shared" si="19"/>
        <v>0</v>
      </c>
      <c r="AA52">
        <f t="shared" si="20"/>
        <v>18</v>
      </c>
      <c r="AB52">
        <f t="shared" si="21"/>
        <v>0</v>
      </c>
      <c r="AC52">
        <f t="shared" si="22"/>
        <v>0</v>
      </c>
      <c r="AD52">
        <f t="shared" si="23"/>
        <v>0</v>
      </c>
      <c r="AE52">
        <f t="shared" si="24"/>
        <v>0</v>
      </c>
      <c r="AF52">
        <f t="shared" si="25"/>
        <v>0</v>
      </c>
      <c r="AG52">
        <f t="shared" si="26"/>
        <v>0</v>
      </c>
      <c r="AH52">
        <f t="shared" si="27"/>
        <v>0</v>
      </c>
      <c r="AI52">
        <f t="shared" si="28"/>
        <v>0</v>
      </c>
      <c r="AJ52">
        <f t="shared" si="29"/>
        <v>0</v>
      </c>
      <c r="AK52">
        <f t="shared" si="30"/>
        <v>0</v>
      </c>
      <c r="AL52">
        <f t="shared" si="16"/>
        <v>56</v>
      </c>
    </row>
    <row r="53" spans="1:38" x14ac:dyDescent="0.25">
      <c r="A53" t="s">
        <v>52</v>
      </c>
      <c r="B53">
        <v>14</v>
      </c>
      <c r="W53" t="str">
        <f t="shared" si="15"/>
        <v>52A-HKU-AU-YEUNG</v>
      </c>
      <c r="X53">
        <f t="shared" si="17"/>
        <v>20</v>
      </c>
      <c r="Y53">
        <f t="shared" si="18"/>
        <v>0</v>
      </c>
      <c r="Z53">
        <f t="shared" si="19"/>
        <v>0</v>
      </c>
      <c r="AA53">
        <f t="shared" si="20"/>
        <v>0</v>
      </c>
      <c r="AB53">
        <f t="shared" si="21"/>
        <v>0</v>
      </c>
      <c r="AC53">
        <f t="shared" si="22"/>
        <v>0</v>
      </c>
      <c r="AD53">
        <f t="shared" si="23"/>
        <v>0</v>
      </c>
      <c r="AE53">
        <f t="shared" si="24"/>
        <v>0</v>
      </c>
      <c r="AF53">
        <f t="shared" si="25"/>
        <v>0</v>
      </c>
      <c r="AG53">
        <f t="shared" si="26"/>
        <v>0</v>
      </c>
      <c r="AH53">
        <f t="shared" si="27"/>
        <v>0</v>
      </c>
      <c r="AI53">
        <f t="shared" si="28"/>
        <v>0</v>
      </c>
      <c r="AJ53">
        <f t="shared" si="29"/>
        <v>0</v>
      </c>
      <c r="AK53">
        <f t="shared" si="30"/>
        <v>0</v>
      </c>
      <c r="AL53">
        <f t="shared" si="16"/>
        <v>20</v>
      </c>
    </row>
    <row r="54" spans="1:38" ht="15" customHeight="1" x14ac:dyDescent="0.25">
      <c r="A54" t="s">
        <v>53</v>
      </c>
      <c r="C54">
        <v>13</v>
      </c>
      <c r="W54" t="str">
        <f t="shared" si="15"/>
        <v>52E-HKU-WONG</v>
      </c>
      <c r="X54">
        <f t="shared" si="17"/>
        <v>0</v>
      </c>
      <c r="Y54">
        <f t="shared" si="18"/>
        <v>22</v>
      </c>
      <c r="Z54">
        <f t="shared" si="19"/>
        <v>0</v>
      </c>
      <c r="AA54">
        <f t="shared" si="20"/>
        <v>0</v>
      </c>
      <c r="AB54">
        <f t="shared" si="21"/>
        <v>0</v>
      </c>
      <c r="AC54">
        <f t="shared" si="22"/>
        <v>0</v>
      </c>
      <c r="AD54">
        <f t="shared" si="23"/>
        <v>0</v>
      </c>
      <c r="AE54">
        <f t="shared" si="24"/>
        <v>0</v>
      </c>
      <c r="AF54">
        <f t="shared" si="25"/>
        <v>0</v>
      </c>
      <c r="AG54">
        <f t="shared" si="26"/>
        <v>0</v>
      </c>
      <c r="AH54">
        <f t="shared" si="27"/>
        <v>0</v>
      </c>
      <c r="AI54">
        <f t="shared" si="28"/>
        <v>0</v>
      </c>
      <c r="AJ54">
        <f t="shared" si="29"/>
        <v>0</v>
      </c>
      <c r="AK54">
        <f t="shared" si="30"/>
        <v>0</v>
      </c>
      <c r="AL54">
        <f t="shared" si="16"/>
        <v>22</v>
      </c>
    </row>
    <row r="55" spans="1:38" ht="15.75" customHeight="1" x14ac:dyDescent="0.25">
      <c r="A55" t="s">
        <v>54</v>
      </c>
      <c r="B55">
        <v>7</v>
      </c>
      <c r="W55" t="str">
        <f t="shared" si="15"/>
        <v>53F-PROT-PUCHYRSKI</v>
      </c>
      <c r="X55">
        <f t="shared" si="17"/>
        <v>34</v>
      </c>
      <c r="Y55">
        <f t="shared" si="18"/>
        <v>0</v>
      </c>
      <c r="Z55">
        <f t="shared" si="19"/>
        <v>0</v>
      </c>
      <c r="AA55">
        <f t="shared" si="20"/>
        <v>0</v>
      </c>
      <c r="AB55">
        <f t="shared" si="21"/>
        <v>0</v>
      </c>
      <c r="AC55">
        <f t="shared" si="22"/>
        <v>0</v>
      </c>
      <c r="AD55">
        <f t="shared" si="23"/>
        <v>0</v>
      </c>
      <c r="AE55">
        <f t="shared" si="24"/>
        <v>0</v>
      </c>
      <c r="AF55">
        <f t="shared" si="25"/>
        <v>0</v>
      </c>
      <c r="AG55">
        <f t="shared" si="26"/>
        <v>0</v>
      </c>
      <c r="AH55">
        <f t="shared" si="27"/>
        <v>0</v>
      </c>
      <c r="AI55">
        <f t="shared" si="28"/>
        <v>0</v>
      </c>
      <c r="AJ55">
        <f t="shared" si="29"/>
        <v>0</v>
      </c>
      <c r="AK55">
        <f t="shared" si="30"/>
        <v>0</v>
      </c>
      <c r="AL55">
        <f t="shared" si="16"/>
        <v>34</v>
      </c>
    </row>
    <row r="56" spans="1:38" x14ac:dyDescent="0.25">
      <c r="A56" t="s">
        <v>26</v>
      </c>
      <c r="E56">
        <v>15</v>
      </c>
      <c r="W56" t="str">
        <f t="shared" si="15"/>
        <v>9A-VIT-LOPEZ</v>
      </c>
      <c r="X56">
        <f t="shared" si="17"/>
        <v>0</v>
      </c>
      <c r="Y56">
        <f t="shared" si="18"/>
        <v>0</v>
      </c>
      <c r="Z56">
        <f t="shared" si="19"/>
        <v>0</v>
      </c>
      <c r="AA56">
        <f t="shared" si="20"/>
        <v>19</v>
      </c>
      <c r="AB56">
        <f t="shared" si="21"/>
        <v>0</v>
      </c>
      <c r="AC56">
        <f t="shared" si="22"/>
        <v>0</v>
      </c>
      <c r="AD56">
        <f t="shared" si="23"/>
        <v>0</v>
      </c>
      <c r="AE56">
        <f t="shared" si="24"/>
        <v>0</v>
      </c>
      <c r="AF56">
        <f t="shared" si="25"/>
        <v>0</v>
      </c>
      <c r="AG56">
        <f t="shared" si="26"/>
        <v>0</v>
      </c>
      <c r="AH56">
        <f t="shared" si="27"/>
        <v>0</v>
      </c>
      <c r="AI56">
        <f t="shared" si="28"/>
        <v>0</v>
      </c>
      <c r="AJ56">
        <f t="shared" si="29"/>
        <v>0</v>
      </c>
      <c r="AK56">
        <f t="shared" si="30"/>
        <v>0</v>
      </c>
      <c r="AL56">
        <f t="shared" si="16"/>
        <v>19</v>
      </c>
    </row>
    <row r="57" spans="1:38" x14ac:dyDescent="0.25">
      <c r="W57">
        <f t="shared" si="15"/>
        <v>0</v>
      </c>
      <c r="X57">
        <f t="shared" si="17"/>
        <v>0</v>
      </c>
      <c r="Y57">
        <f t="shared" si="18"/>
        <v>0</v>
      </c>
      <c r="Z57">
        <f t="shared" si="19"/>
        <v>0</v>
      </c>
      <c r="AA57">
        <f t="shared" si="20"/>
        <v>0</v>
      </c>
      <c r="AB57">
        <f t="shared" si="21"/>
        <v>0</v>
      </c>
      <c r="AC57">
        <f t="shared" si="22"/>
        <v>0</v>
      </c>
      <c r="AD57">
        <f t="shared" si="23"/>
        <v>0</v>
      </c>
      <c r="AE57">
        <f t="shared" si="24"/>
        <v>0</v>
      </c>
      <c r="AF57">
        <f t="shared" si="25"/>
        <v>0</v>
      </c>
      <c r="AG57">
        <f t="shared" si="26"/>
        <v>0</v>
      </c>
      <c r="AH57">
        <f t="shared" si="27"/>
        <v>0</v>
      </c>
      <c r="AI57">
        <f t="shared" si="28"/>
        <v>0</v>
      </c>
      <c r="AJ57">
        <f t="shared" si="29"/>
        <v>0</v>
      </c>
      <c r="AK57">
        <f t="shared" si="30"/>
        <v>0</v>
      </c>
      <c r="AL57">
        <f t="shared" si="16"/>
        <v>0</v>
      </c>
    </row>
    <row r="58" spans="1:38" x14ac:dyDescent="0.25">
      <c r="W58">
        <f t="shared" si="15"/>
        <v>0</v>
      </c>
      <c r="X58">
        <f t="shared" si="17"/>
        <v>0</v>
      </c>
      <c r="Y58">
        <f t="shared" si="18"/>
        <v>0</v>
      </c>
      <c r="Z58">
        <f t="shared" si="19"/>
        <v>0</v>
      </c>
      <c r="AA58">
        <f t="shared" si="20"/>
        <v>0</v>
      </c>
      <c r="AB58">
        <f t="shared" si="21"/>
        <v>0</v>
      </c>
      <c r="AC58">
        <f t="shared" si="22"/>
        <v>0</v>
      </c>
      <c r="AD58">
        <f t="shared" si="23"/>
        <v>0</v>
      </c>
      <c r="AE58">
        <f t="shared" si="24"/>
        <v>0</v>
      </c>
      <c r="AF58">
        <f t="shared" si="25"/>
        <v>0</v>
      </c>
      <c r="AG58">
        <f t="shared" si="26"/>
        <v>0</v>
      </c>
      <c r="AH58">
        <f t="shared" si="27"/>
        <v>0</v>
      </c>
      <c r="AI58">
        <f t="shared" si="28"/>
        <v>0</v>
      </c>
      <c r="AJ58">
        <f t="shared" si="29"/>
        <v>0</v>
      </c>
      <c r="AK58">
        <f t="shared" si="30"/>
        <v>0</v>
      </c>
      <c r="AL58">
        <f t="shared" si="16"/>
        <v>0</v>
      </c>
    </row>
    <row r="59" spans="1:38" x14ac:dyDescent="0.25">
      <c r="W59">
        <f t="shared" si="15"/>
        <v>0</v>
      </c>
      <c r="X59">
        <f t="shared" si="17"/>
        <v>0</v>
      </c>
      <c r="Y59">
        <f t="shared" si="18"/>
        <v>0</v>
      </c>
      <c r="Z59">
        <f t="shared" si="19"/>
        <v>0</v>
      </c>
      <c r="AA59">
        <f t="shared" si="20"/>
        <v>0</v>
      </c>
      <c r="AB59">
        <f t="shared" si="21"/>
        <v>0</v>
      </c>
      <c r="AC59">
        <f t="shared" si="22"/>
        <v>0</v>
      </c>
      <c r="AD59">
        <f t="shared" si="23"/>
        <v>0</v>
      </c>
      <c r="AE59">
        <f t="shared" si="24"/>
        <v>0</v>
      </c>
      <c r="AF59">
        <f t="shared" si="25"/>
        <v>0</v>
      </c>
      <c r="AG59">
        <f t="shared" si="26"/>
        <v>0</v>
      </c>
      <c r="AH59">
        <f t="shared" si="27"/>
        <v>0</v>
      </c>
      <c r="AI59">
        <f t="shared" si="28"/>
        <v>0</v>
      </c>
      <c r="AJ59">
        <f t="shared" si="29"/>
        <v>0</v>
      </c>
      <c r="AK59">
        <f t="shared" si="30"/>
        <v>0</v>
      </c>
      <c r="AL59">
        <f t="shared" si="16"/>
        <v>0</v>
      </c>
    </row>
    <row r="60" spans="1:38" x14ac:dyDescent="0.25">
      <c r="W60">
        <f t="shared" si="15"/>
        <v>0</v>
      </c>
      <c r="X60">
        <f t="shared" si="17"/>
        <v>0</v>
      </c>
      <c r="Y60">
        <f t="shared" si="18"/>
        <v>0</v>
      </c>
      <c r="Z60">
        <f t="shared" si="19"/>
        <v>0</v>
      </c>
      <c r="AA60">
        <f t="shared" si="20"/>
        <v>0</v>
      </c>
      <c r="AB60">
        <f t="shared" si="21"/>
        <v>0</v>
      </c>
      <c r="AC60">
        <f t="shared" si="22"/>
        <v>0</v>
      </c>
      <c r="AD60">
        <f t="shared" si="23"/>
        <v>0</v>
      </c>
      <c r="AE60">
        <f t="shared" si="24"/>
        <v>0</v>
      </c>
      <c r="AF60">
        <f t="shared" si="25"/>
        <v>0</v>
      </c>
      <c r="AG60">
        <f t="shared" si="26"/>
        <v>0</v>
      </c>
      <c r="AH60">
        <f t="shared" si="27"/>
        <v>0</v>
      </c>
      <c r="AI60">
        <f t="shared" si="28"/>
        <v>0</v>
      </c>
      <c r="AJ60">
        <f t="shared" si="29"/>
        <v>0</v>
      </c>
      <c r="AK60">
        <f t="shared" si="30"/>
        <v>0</v>
      </c>
      <c r="AL60">
        <f t="shared" si="16"/>
        <v>0</v>
      </c>
    </row>
    <row r="61" spans="1:38" x14ac:dyDescent="0.25">
      <c r="W61">
        <f t="shared" si="15"/>
        <v>0</v>
      </c>
      <c r="X61">
        <f t="shared" si="17"/>
        <v>0</v>
      </c>
      <c r="Y61">
        <f t="shared" si="18"/>
        <v>0</v>
      </c>
      <c r="Z61">
        <f t="shared" si="19"/>
        <v>0</v>
      </c>
      <c r="AA61">
        <f t="shared" si="20"/>
        <v>0</v>
      </c>
      <c r="AB61">
        <f t="shared" si="21"/>
        <v>0</v>
      </c>
      <c r="AC61">
        <f t="shared" si="22"/>
        <v>0</v>
      </c>
      <c r="AD61">
        <f t="shared" si="23"/>
        <v>0</v>
      </c>
      <c r="AE61">
        <f t="shared" si="24"/>
        <v>0</v>
      </c>
      <c r="AF61">
        <f t="shared" si="25"/>
        <v>0</v>
      </c>
      <c r="AG61">
        <f t="shared" si="26"/>
        <v>0</v>
      </c>
      <c r="AH61">
        <f t="shared" si="27"/>
        <v>0</v>
      </c>
      <c r="AI61">
        <f t="shared" si="28"/>
        <v>0</v>
      </c>
      <c r="AJ61">
        <f t="shared" si="29"/>
        <v>0</v>
      </c>
      <c r="AK61">
        <f t="shared" si="30"/>
        <v>0</v>
      </c>
      <c r="AL61">
        <f t="shared" si="16"/>
        <v>0</v>
      </c>
    </row>
    <row r="62" spans="1:38" x14ac:dyDescent="0.25">
      <c r="W62">
        <f t="shared" si="15"/>
        <v>0</v>
      </c>
      <c r="X62">
        <f t="shared" si="17"/>
        <v>0</v>
      </c>
      <c r="Y62">
        <f t="shared" si="18"/>
        <v>0</v>
      </c>
      <c r="Z62">
        <f t="shared" si="19"/>
        <v>0</v>
      </c>
      <c r="AA62">
        <f t="shared" si="20"/>
        <v>0</v>
      </c>
      <c r="AB62">
        <f t="shared" si="21"/>
        <v>0</v>
      </c>
      <c r="AC62">
        <f t="shared" si="22"/>
        <v>0</v>
      </c>
      <c r="AD62">
        <f t="shared" si="23"/>
        <v>0</v>
      </c>
      <c r="AE62">
        <f t="shared" si="24"/>
        <v>0</v>
      </c>
      <c r="AF62">
        <f t="shared" si="25"/>
        <v>0</v>
      </c>
      <c r="AG62">
        <f t="shared" si="26"/>
        <v>0</v>
      </c>
      <c r="AH62">
        <f t="shared" si="27"/>
        <v>0</v>
      </c>
      <c r="AI62">
        <f t="shared" si="28"/>
        <v>0</v>
      </c>
      <c r="AJ62">
        <f t="shared" si="29"/>
        <v>0</v>
      </c>
      <c r="AK62">
        <f t="shared" si="30"/>
        <v>0</v>
      </c>
      <c r="AL62">
        <f t="shared" si="16"/>
        <v>0</v>
      </c>
    </row>
    <row r="63" spans="1:38" x14ac:dyDescent="0.25">
      <c r="W63">
        <f t="shared" si="15"/>
        <v>0</v>
      </c>
      <c r="X63">
        <f t="shared" si="17"/>
        <v>0</v>
      </c>
      <c r="Y63">
        <f t="shared" si="18"/>
        <v>0</v>
      </c>
      <c r="Z63">
        <f t="shared" si="19"/>
        <v>0</v>
      </c>
      <c r="AA63">
        <f t="shared" si="20"/>
        <v>0</v>
      </c>
      <c r="AB63">
        <f t="shared" si="21"/>
        <v>0</v>
      </c>
      <c r="AC63">
        <f t="shared" si="22"/>
        <v>0</v>
      </c>
      <c r="AD63">
        <f t="shared" si="23"/>
        <v>0</v>
      </c>
      <c r="AE63">
        <f t="shared" si="24"/>
        <v>0</v>
      </c>
      <c r="AF63">
        <f t="shared" si="25"/>
        <v>0</v>
      </c>
      <c r="AG63">
        <f t="shared" si="26"/>
        <v>0</v>
      </c>
      <c r="AH63">
        <f t="shared" si="27"/>
        <v>0</v>
      </c>
      <c r="AI63">
        <f t="shared" si="28"/>
        <v>0</v>
      </c>
      <c r="AJ63">
        <f t="shared" si="29"/>
        <v>0</v>
      </c>
      <c r="AK63">
        <f t="shared" si="30"/>
        <v>0</v>
      </c>
      <c r="AL63">
        <f t="shared" si="16"/>
        <v>0</v>
      </c>
    </row>
    <row r="64" spans="1:38" x14ac:dyDescent="0.25">
      <c r="W64">
        <f t="shared" si="15"/>
        <v>0</v>
      </c>
      <c r="X64">
        <f t="shared" si="17"/>
        <v>0</v>
      </c>
      <c r="Y64">
        <f t="shared" si="18"/>
        <v>0</v>
      </c>
      <c r="Z64">
        <f t="shared" si="19"/>
        <v>0</v>
      </c>
      <c r="AA64">
        <f t="shared" si="20"/>
        <v>0</v>
      </c>
      <c r="AB64">
        <f t="shared" si="21"/>
        <v>0</v>
      </c>
      <c r="AC64">
        <f t="shared" si="22"/>
        <v>0</v>
      </c>
      <c r="AD64">
        <f t="shared" si="23"/>
        <v>0</v>
      </c>
      <c r="AE64">
        <f t="shared" si="24"/>
        <v>0</v>
      </c>
      <c r="AF64">
        <f t="shared" si="25"/>
        <v>0</v>
      </c>
      <c r="AG64">
        <f t="shared" si="26"/>
        <v>0</v>
      </c>
      <c r="AH64">
        <f t="shared" si="27"/>
        <v>0</v>
      </c>
      <c r="AI64">
        <f t="shared" si="28"/>
        <v>0</v>
      </c>
      <c r="AJ64">
        <f t="shared" si="29"/>
        <v>0</v>
      </c>
      <c r="AK64">
        <f t="shared" si="30"/>
        <v>0</v>
      </c>
      <c r="AL64">
        <f t="shared" si="16"/>
        <v>0</v>
      </c>
    </row>
    <row r="65" spans="23:38" x14ac:dyDescent="0.25">
      <c r="W65">
        <f t="shared" si="15"/>
        <v>0</v>
      </c>
      <c r="X65">
        <f t="shared" si="17"/>
        <v>0</v>
      </c>
      <c r="Y65">
        <f t="shared" si="18"/>
        <v>0</v>
      </c>
      <c r="Z65">
        <f t="shared" si="19"/>
        <v>0</v>
      </c>
      <c r="AA65">
        <f t="shared" si="20"/>
        <v>0</v>
      </c>
      <c r="AB65">
        <f t="shared" si="21"/>
        <v>0</v>
      </c>
      <c r="AC65">
        <f t="shared" si="22"/>
        <v>0</v>
      </c>
      <c r="AD65">
        <f t="shared" si="23"/>
        <v>0</v>
      </c>
      <c r="AE65">
        <f t="shared" si="24"/>
        <v>0</v>
      </c>
      <c r="AF65">
        <f t="shared" si="25"/>
        <v>0</v>
      </c>
      <c r="AG65">
        <f t="shared" si="26"/>
        <v>0</v>
      </c>
      <c r="AH65">
        <f t="shared" si="27"/>
        <v>0</v>
      </c>
      <c r="AI65">
        <f t="shared" si="28"/>
        <v>0</v>
      </c>
      <c r="AJ65">
        <f t="shared" si="29"/>
        <v>0</v>
      </c>
      <c r="AK65">
        <f t="shared" si="30"/>
        <v>0</v>
      </c>
      <c r="AL65">
        <f t="shared" si="16"/>
        <v>0</v>
      </c>
    </row>
    <row r="66" spans="23:38" x14ac:dyDescent="0.25">
      <c r="W66">
        <f t="shared" si="15"/>
        <v>0</v>
      </c>
      <c r="X66">
        <f t="shared" si="17"/>
        <v>0</v>
      </c>
      <c r="Y66">
        <f t="shared" si="18"/>
        <v>0</v>
      </c>
      <c r="Z66">
        <f t="shared" si="19"/>
        <v>0</v>
      </c>
      <c r="AA66">
        <f t="shared" si="20"/>
        <v>0</v>
      </c>
      <c r="AB66">
        <f t="shared" si="21"/>
        <v>0</v>
      </c>
      <c r="AC66">
        <f t="shared" si="22"/>
        <v>0</v>
      </c>
      <c r="AD66">
        <f t="shared" si="23"/>
        <v>0</v>
      </c>
      <c r="AE66">
        <f t="shared" si="24"/>
        <v>0</v>
      </c>
      <c r="AF66">
        <f t="shared" si="25"/>
        <v>0</v>
      </c>
      <c r="AG66">
        <f t="shared" si="26"/>
        <v>0</v>
      </c>
      <c r="AH66">
        <f t="shared" si="27"/>
        <v>0</v>
      </c>
      <c r="AI66">
        <f t="shared" si="28"/>
        <v>0</v>
      </c>
      <c r="AJ66">
        <f t="shared" si="29"/>
        <v>0</v>
      </c>
      <c r="AK66">
        <f t="shared" si="30"/>
        <v>0</v>
      </c>
      <c r="AL66">
        <f t="shared" si="16"/>
        <v>0</v>
      </c>
    </row>
    <row r="67" spans="23:38" x14ac:dyDescent="0.25">
      <c r="W67">
        <f t="shared" si="15"/>
        <v>0</v>
      </c>
      <c r="X67">
        <f t="shared" si="17"/>
        <v>0</v>
      </c>
      <c r="Y67">
        <f t="shared" si="18"/>
        <v>0</v>
      </c>
      <c r="Z67">
        <f t="shared" si="19"/>
        <v>0</v>
      </c>
      <c r="AA67">
        <f t="shared" si="20"/>
        <v>0</v>
      </c>
      <c r="AB67">
        <f t="shared" si="21"/>
        <v>0</v>
      </c>
      <c r="AC67">
        <f t="shared" si="22"/>
        <v>0</v>
      </c>
      <c r="AD67">
        <f t="shared" si="23"/>
        <v>0</v>
      </c>
      <c r="AE67">
        <f t="shared" si="24"/>
        <v>0</v>
      </c>
      <c r="AF67">
        <f t="shared" si="25"/>
        <v>0</v>
      </c>
      <c r="AG67">
        <f t="shared" si="26"/>
        <v>0</v>
      </c>
      <c r="AH67">
        <f t="shared" si="27"/>
        <v>0</v>
      </c>
      <c r="AI67">
        <f t="shared" si="28"/>
        <v>0</v>
      </c>
      <c r="AJ67">
        <f t="shared" si="29"/>
        <v>0</v>
      </c>
      <c r="AK67">
        <f t="shared" si="30"/>
        <v>0</v>
      </c>
      <c r="AL67">
        <f t="shared" si="16"/>
        <v>0</v>
      </c>
    </row>
    <row r="68" spans="23:38" x14ac:dyDescent="0.25">
      <c r="W68">
        <f t="shared" si="15"/>
        <v>0</v>
      </c>
      <c r="X68">
        <f t="shared" si="17"/>
        <v>0</v>
      </c>
      <c r="Y68">
        <f t="shared" si="18"/>
        <v>0</v>
      </c>
      <c r="Z68">
        <f t="shared" si="19"/>
        <v>0</v>
      </c>
      <c r="AA68">
        <f t="shared" si="20"/>
        <v>0</v>
      </c>
      <c r="AB68">
        <f t="shared" si="21"/>
        <v>0</v>
      </c>
      <c r="AC68">
        <f t="shared" si="22"/>
        <v>0</v>
      </c>
      <c r="AD68">
        <f t="shared" si="23"/>
        <v>0</v>
      </c>
      <c r="AE68">
        <f t="shared" si="24"/>
        <v>0</v>
      </c>
      <c r="AF68">
        <f t="shared" si="25"/>
        <v>0</v>
      </c>
      <c r="AG68">
        <f t="shared" si="26"/>
        <v>0</v>
      </c>
      <c r="AH68">
        <f t="shared" si="27"/>
        <v>0</v>
      </c>
      <c r="AI68">
        <f t="shared" si="28"/>
        <v>0</v>
      </c>
      <c r="AJ68">
        <f t="shared" si="29"/>
        <v>0</v>
      </c>
      <c r="AK68">
        <f t="shared" si="30"/>
        <v>0</v>
      </c>
      <c r="AL68">
        <f t="shared" si="16"/>
        <v>0</v>
      </c>
    </row>
    <row r="69" spans="23:38" x14ac:dyDescent="0.25">
      <c r="W69">
        <f t="shared" ref="W69:W132" si="31">A69</f>
        <v>0</v>
      </c>
      <c r="X69">
        <f t="shared" ref="X69:X100" si="32">_xlfn.IFNA(LOOKUP(B69,$T$6:$T$25,$U$6:$U$25),0)+COUNTIF(B$1:B$3,$W69)</f>
        <v>0</v>
      </c>
      <c r="Y69">
        <f t="shared" ref="Y69:Y100" si="33">_xlfn.IFNA(LOOKUP(C69,$T$6:$T$25,$U$6:$U$25),0)+COUNTIF(C$1:C$3,$W69)</f>
        <v>0</v>
      </c>
      <c r="Z69">
        <f t="shared" ref="Z69:Z100" si="34">_xlfn.IFNA(LOOKUP(D69,$T$6:$T$25,$U$6:$U$25),0)+COUNTIF(D$1:D$3,$W69)</f>
        <v>0</v>
      </c>
      <c r="AA69">
        <f t="shared" ref="AA69:AA100" si="35">_xlfn.IFNA(LOOKUP(E69,$T$6:$T$25,$U$6:$U$25),0)+COUNTIF(E$1:E$3,$W69)</f>
        <v>0</v>
      </c>
      <c r="AB69">
        <f t="shared" ref="AB69:AB100" si="36">_xlfn.IFNA(LOOKUP(F69,$T$6:$T$25,$U$6:$U$25),0)+COUNTIF(F$1:F$3,$W69)</f>
        <v>0</v>
      </c>
      <c r="AC69">
        <f t="shared" ref="AC69:AC100" si="37">_xlfn.IFNA(LOOKUP(G69,$T$6:$T$25,$U$6:$U$25),0)+COUNTIF(G$1:G$3,$W69)</f>
        <v>0</v>
      </c>
      <c r="AD69">
        <f t="shared" ref="AD69:AD100" si="38">_xlfn.IFNA(LOOKUP(H69,$T$6:$T$25,$U$6:$U$25),0)+COUNTIF(H$1:H$3,$W69)</f>
        <v>0</v>
      </c>
      <c r="AE69">
        <f t="shared" ref="AE69:AE100" si="39">_xlfn.IFNA(LOOKUP(I69,$T$6:$T$25,$U$6:$U$25),0)+COUNTIF(I$1:I$3,$W69)</f>
        <v>0</v>
      </c>
      <c r="AF69">
        <f t="shared" ref="AF69:AF100" si="40">_xlfn.IFNA(LOOKUP(J69,$T$6:$T$25,$U$6:$U$25),0)+COUNTIF(J$1:J$3,$W69)</f>
        <v>0</v>
      </c>
      <c r="AG69">
        <f t="shared" ref="AG69:AG100" si="41">_xlfn.IFNA(LOOKUP(K69,$T$6:$T$25,$U$6:$U$25),0)+COUNTIF(K$1:K$3,$W69)</f>
        <v>0</v>
      </c>
      <c r="AH69">
        <f t="shared" ref="AH69:AH100" si="42">_xlfn.IFNA(LOOKUP(L69,$T$6:$T$25,$U$6:$U$25),0)+COUNTIF(L$1:L$3,$W69)</f>
        <v>0</v>
      </c>
      <c r="AI69">
        <f t="shared" ref="AI69:AI100" si="43">_xlfn.IFNA(LOOKUP(M69,$T$6:$T$25,$U$6:$U$25),0)+COUNTIF(M$1:M$3,$W69)</f>
        <v>0</v>
      </c>
      <c r="AJ69">
        <f t="shared" ref="AJ69:AJ100" si="44">_xlfn.IFNA(LOOKUP(N69,$T$6:$T$25,$U$6:$U$25),0)+COUNTIF(N$1:N$3,$W69)</f>
        <v>0</v>
      </c>
      <c r="AK69">
        <f t="shared" ref="AK69:AK100" si="45">_xlfn.IFNA(LOOKUP(O69,$T$6:$T$25,$U$6:$U$25),0)+COUNTIF(O$1:O$3,$W69)</f>
        <v>0</v>
      </c>
      <c r="AL69">
        <f t="shared" ref="AL69:AL132" si="46">SUM(X69:AK69)</f>
        <v>0</v>
      </c>
    </row>
    <row r="70" spans="23:38" x14ac:dyDescent="0.25">
      <c r="W70">
        <f t="shared" si="31"/>
        <v>0</v>
      </c>
      <c r="X70">
        <f t="shared" si="32"/>
        <v>0</v>
      </c>
      <c r="Y70">
        <f t="shared" si="33"/>
        <v>0</v>
      </c>
      <c r="Z70">
        <f t="shared" si="34"/>
        <v>0</v>
      </c>
      <c r="AA70">
        <f t="shared" si="35"/>
        <v>0</v>
      </c>
      <c r="AB70">
        <f t="shared" si="36"/>
        <v>0</v>
      </c>
      <c r="AC70">
        <f t="shared" si="37"/>
        <v>0</v>
      </c>
      <c r="AD70">
        <f t="shared" si="38"/>
        <v>0</v>
      </c>
      <c r="AE70">
        <f t="shared" si="39"/>
        <v>0</v>
      </c>
      <c r="AF70">
        <f t="shared" si="40"/>
        <v>0</v>
      </c>
      <c r="AG70">
        <f t="shared" si="41"/>
        <v>0</v>
      </c>
      <c r="AH70">
        <f t="shared" si="42"/>
        <v>0</v>
      </c>
      <c r="AI70">
        <f t="shared" si="43"/>
        <v>0</v>
      </c>
      <c r="AJ70">
        <f t="shared" si="44"/>
        <v>0</v>
      </c>
      <c r="AK70">
        <f t="shared" si="45"/>
        <v>0</v>
      </c>
      <c r="AL70">
        <f t="shared" si="46"/>
        <v>0</v>
      </c>
    </row>
    <row r="71" spans="23:38" x14ac:dyDescent="0.25">
      <c r="W71">
        <f t="shared" si="31"/>
        <v>0</v>
      </c>
      <c r="X71">
        <f t="shared" si="32"/>
        <v>0</v>
      </c>
      <c r="Y71">
        <f t="shared" si="33"/>
        <v>0</v>
      </c>
      <c r="Z71">
        <f t="shared" si="34"/>
        <v>0</v>
      </c>
      <c r="AA71">
        <f t="shared" si="35"/>
        <v>0</v>
      </c>
      <c r="AB71">
        <f t="shared" si="36"/>
        <v>0</v>
      </c>
      <c r="AC71">
        <f t="shared" si="37"/>
        <v>0</v>
      </c>
      <c r="AD71">
        <f t="shared" si="38"/>
        <v>0</v>
      </c>
      <c r="AE71">
        <f t="shared" si="39"/>
        <v>0</v>
      </c>
      <c r="AF71">
        <f t="shared" si="40"/>
        <v>0</v>
      </c>
      <c r="AG71">
        <f t="shared" si="41"/>
        <v>0</v>
      </c>
      <c r="AH71">
        <f t="shared" si="42"/>
        <v>0</v>
      </c>
      <c r="AI71">
        <f t="shared" si="43"/>
        <v>0</v>
      </c>
      <c r="AJ71">
        <f t="shared" si="44"/>
        <v>0</v>
      </c>
      <c r="AK71">
        <f t="shared" si="45"/>
        <v>0</v>
      </c>
      <c r="AL71">
        <f t="shared" si="46"/>
        <v>0</v>
      </c>
    </row>
    <row r="72" spans="23:38" x14ac:dyDescent="0.25">
      <c r="W72">
        <f t="shared" si="31"/>
        <v>0</v>
      </c>
      <c r="X72">
        <f t="shared" si="32"/>
        <v>0</v>
      </c>
      <c r="Y72">
        <f t="shared" si="33"/>
        <v>0</v>
      </c>
      <c r="Z72">
        <f t="shared" si="34"/>
        <v>0</v>
      </c>
      <c r="AA72">
        <f t="shared" si="35"/>
        <v>0</v>
      </c>
      <c r="AB72">
        <f t="shared" si="36"/>
        <v>0</v>
      </c>
      <c r="AC72">
        <f t="shared" si="37"/>
        <v>0</v>
      </c>
      <c r="AD72">
        <f t="shared" si="38"/>
        <v>0</v>
      </c>
      <c r="AE72">
        <f t="shared" si="39"/>
        <v>0</v>
      </c>
      <c r="AF72">
        <f t="shared" si="40"/>
        <v>0</v>
      </c>
      <c r="AG72">
        <f t="shared" si="41"/>
        <v>0</v>
      </c>
      <c r="AH72">
        <f t="shared" si="42"/>
        <v>0</v>
      </c>
      <c r="AI72">
        <f t="shared" si="43"/>
        <v>0</v>
      </c>
      <c r="AJ72">
        <f t="shared" si="44"/>
        <v>0</v>
      </c>
      <c r="AK72">
        <f t="shared" si="45"/>
        <v>0</v>
      </c>
      <c r="AL72">
        <f t="shared" si="46"/>
        <v>0</v>
      </c>
    </row>
    <row r="73" spans="23:38" x14ac:dyDescent="0.25">
      <c r="W73">
        <f t="shared" si="31"/>
        <v>0</v>
      </c>
      <c r="X73">
        <f t="shared" si="32"/>
        <v>0</v>
      </c>
      <c r="Y73">
        <f t="shared" si="33"/>
        <v>0</v>
      </c>
      <c r="Z73">
        <f t="shared" si="34"/>
        <v>0</v>
      </c>
      <c r="AA73">
        <f t="shared" si="35"/>
        <v>0</v>
      </c>
      <c r="AB73">
        <f t="shared" si="36"/>
        <v>0</v>
      </c>
      <c r="AC73">
        <f t="shared" si="37"/>
        <v>0</v>
      </c>
      <c r="AD73">
        <f t="shared" si="38"/>
        <v>0</v>
      </c>
      <c r="AE73">
        <f t="shared" si="39"/>
        <v>0</v>
      </c>
      <c r="AF73">
        <f t="shared" si="40"/>
        <v>0</v>
      </c>
      <c r="AG73">
        <f t="shared" si="41"/>
        <v>0</v>
      </c>
      <c r="AH73">
        <f t="shared" si="42"/>
        <v>0</v>
      </c>
      <c r="AI73">
        <f t="shared" si="43"/>
        <v>0</v>
      </c>
      <c r="AJ73">
        <f t="shared" si="44"/>
        <v>0</v>
      </c>
      <c r="AK73">
        <f t="shared" si="45"/>
        <v>0</v>
      </c>
      <c r="AL73">
        <f t="shared" si="46"/>
        <v>0</v>
      </c>
    </row>
    <row r="74" spans="23:38" x14ac:dyDescent="0.25">
      <c r="W74">
        <f t="shared" si="31"/>
        <v>0</v>
      </c>
      <c r="X74">
        <f t="shared" si="32"/>
        <v>0</v>
      </c>
      <c r="Y74">
        <f t="shared" si="33"/>
        <v>0</v>
      </c>
      <c r="Z74">
        <f t="shared" si="34"/>
        <v>0</v>
      </c>
      <c r="AA74">
        <f t="shared" si="35"/>
        <v>0</v>
      </c>
      <c r="AB74">
        <f t="shared" si="36"/>
        <v>0</v>
      </c>
      <c r="AC74">
        <f t="shared" si="37"/>
        <v>0</v>
      </c>
      <c r="AD74">
        <f t="shared" si="38"/>
        <v>0</v>
      </c>
      <c r="AE74">
        <f t="shared" si="39"/>
        <v>0</v>
      </c>
      <c r="AF74">
        <f t="shared" si="40"/>
        <v>0</v>
      </c>
      <c r="AG74">
        <f t="shared" si="41"/>
        <v>0</v>
      </c>
      <c r="AH74">
        <f t="shared" si="42"/>
        <v>0</v>
      </c>
      <c r="AI74">
        <f t="shared" si="43"/>
        <v>0</v>
      </c>
      <c r="AJ74">
        <f t="shared" si="44"/>
        <v>0</v>
      </c>
      <c r="AK74">
        <f t="shared" si="45"/>
        <v>0</v>
      </c>
      <c r="AL74">
        <f t="shared" si="46"/>
        <v>0</v>
      </c>
    </row>
    <row r="75" spans="23:38" x14ac:dyDescent="0.25">
      <c r="W75">
        <f t="shared" si="31"/>
        <v>0</v>
      </c>
      <c r="X75">
        <f t="shared" si="32"/>
        <v>0</v>
      </c>
      <c r="Y75">
        <f t="shared" si="33"/>
        <v>0</v>
      </c>
      <c r="Z75">
        <f t="shared" si="34"/>
        <v>0</v>
      </c>
      <c r="AA75">
        <f t="shared" si="35"/>
        <v>0</v>
      </c>
      <c r="AB75">
        <f t="shared" si="36"/>
        <v>0</v>
      </c>
      <c r="AC75">
        <f t="shared" si="37"/>
        <v>0</v>
      </c>
      <c r="AD75">
        <f t="shared" si="38"/>
        <v>0</v>
      </c>
      <c r="AE75">
        <f t="shared" si="39"/>
        <v>0</v>
      </c>
      <c r="AF75">
        <f t="shared" si="40"/>
        <v>0</v>
      </c>
      <c r="AG75">
        <f t="shared" si="41"/>
        <v>0</v>
      </c>
      <c r="AH75">
        <f t="shared" si="42"/>
        <v>0</v>
      </c>
      <c r="AI75">
        <f t="shared" si="43"/>
        <v>0</v>
      </c>
      <c r="AJ75">
        <f t="shared" si="44"/>
        <v>0</v>
      </c>
      <c r="AK75">
        <f t="shared" si="45"/>
        <v>0</v>
      </c>
      <c r="AL75">
        <f t="shared" si="46"/>
        <v>0</v>
      </c>
    </row>
    <row r="76" spans="23:38" x14ac:dyDescent="0.25">
      <c r="W76">
        <f t="shared" si="31"/>
        <v>0</v>
      </c>
      <c r="X76">
        <f t="shared" si="32"/>
        <v>0</v>
      </c>
      <c r="Y76">
        <f t="shared" si="33"/>
        <v>0</v>
      </c>
      <c r="Z76">
        <f t="shared" si="34"/>
        <v>0</v>
      </c>
      <c r="AA76">
        <f t="shared" si="35"/>
        <v>0</v>
      </c>
      <c r="AB76">
        <f t="shared" si="36"/>
        <v>0</v>
      </c>
      <c r="AC76">
        <f t="shared" si="37"/>
        <v>0</v>
      </c>
      <c r="AD76">
        <f t="shared" si="38"/>
        <v>0</v>
      </c>
      <c r="AE76">
        <f t="shared" si="39"/>
        <v>0</v>
      </c>
      <c r="AF76">
        <f t="shared" si="40"/>
        <v>0</v>
      </c>
      <c r="AG76">
        <f t="shared" si="41"/>
        <v>0</v>
      </c>
      <c r="AH76">
        <f t="shared" si="42"/>
        <v>0</v>
      </c>
      <c r="AI76">
        <f t="shared" si="43"/>
        <v>0</v>
      </c>
      <c r="AJ76">
        <f t="shared" si="44"/>
        <v>0</v>
      </c>
      <c r="AK76">
        <f t="shared" si="45"/>
        <v>0</v>
      </c>
      <c r="AL76">
        <f t="shared" si="46"/>
        <v>0</v>
      </c>
    </row>
    <row r="77" spans="23:38" x14ac:dyDescent="0.25">
      <c r="W77">
        <f t="shared" si="31"/>
        <v>0</v>
      </c>
      <c r="X77">
        <f t="shared" si="32"/>
        <v>0</v>
      </c>
      <c r="Y77">
        <f t="shared" si="33"/>
        <v>0</v>
      </c>
      <c r="Z77">
        <f t="shared" si="34"/>
        <v>0</v>
      </c>
      <c r="AA77">
        <f t="shared" si="35"/>
        <v>0</v>
      </c>
      <c r="AB77">
        <f t="shared" si="36"/>
        <v>0</v>
      </c>
      <c r="AC77">
        <f t="shared" si="37"/>
        <v>0</v>
      </c>
      <c r="AD77">
        <f t="shared" si="38"/>
        <v>0</v>
      </c>
      <c r="AE77">
        <f t="shared" si="39"/>
        <v>0</v>
      </c>
      <c r="AF77">
        <f t="shared" si="40"/>
        <v>0</v>
      </c>
      <c r="AG77">
        <f t="shared" si="41"/>
        <v>0</v>
      </c>
      <c r="AH77">
        <f t="shared" si="42"/>
        <v>0</v>
      </c>
      <c r="AI77">
        <f t="shared" si="43"/>
        <v>0</v>
      </c>
      <c r="AJ77">
        <f t="shared" si="44"/>
        <v>0</v>
      </c>
      <c r="AK77">
        <f t="shared" si="45"/>
        <v>0</v>
      </c>
      <c r="AL77">
        <f t="shared" si="46"/>
        <v>0</v>
      </c>
    </row>
    <row r="78" spans="23:38" x14ac:dyDescent="0.25">
      <c r="W78">
        <f t="shared" si="31"/>
        <v>0</v>
      </c>
      <c r="X78">
        <f t="shared" si="32"/>
        <v>0</v>
      </c>
      <c r="Y78">
        <f t="shared" si="33"/>
        <v>0</v>
      </c>
      <c r="Z78">
        <f t="shared" si="34"/>
        <v>0</v>
      </c>
      <c r="AA78">
        <f t="shared" si="35"/>
        <v>0</v>
      </c>
      <c r="AB78">
        <f t="shared" si="36"/>
        <v>0</v>
      </c>
      <c r="AC78">
        <f t="shared" si="37"/>
        <v>0</v>
      </c>
      <c r="AD78">
        <f t="shared" si="38"/>
        <v>0</v>
      </c>
      <c r="AE78">
        <f t="shared" si="39"/>
        <v>0</v>
      </c>
      <c r="AF78">
        <f t="shared" si="40"/>
        <v>0</v>
      </c>
      <c r="AG78">
        <f t="shared" si="41"/>
        <v>0</v>
      </c>
      <c r="AH78">
        <f t="shared" si="42"/>
        <v>0</v>
      </c>
      <c r="AI78">
        <f t="shared" si="43"/>
        <v>0</v>
      </c>
      <c r="AJ78">
        <f t="shared" si="44"/>
        <v>0</v>
      </c>
      <c r="AK78">
        <f t="shared" si="45"/>
        <v>0</v>
      </c>
      <c r="AL78">
        <f t="shared" si="46"/>
        <v>0</v>
      </c>
    </row>
    <row r="79" spans="23:38" x14ac:dyDescent="0.25">
      <c r="W79">
        <f t="shared" si="31"/>
        <v>0</v>
      </c>
      <c r="X79">
        <f t="shared" si="32"/>
        <v>0</v>
      </c>
      <c r="Y79">
        <f t="shared" si="33"/>
        <v>0</v>
      </c>
      <c r="Z79">
        <f t="shared" si="34"/>
        <v>0</v>
      </c>
      <c r="AA79">
        <f t="shared" si="35"/>
        <v>0</v>
      </c>
      <c r="AB79">
        <f t="shared" si="36"/>
        <v>0</v>
      </c>
      <c r="AC79">
        <f t="shared" si="37"/>
        <v>0</v>
      </c>
      <c r="AD79">
        <f t="shared" si="38"/>
        <v>0</v>
      </c>
      <c r="AE79">
        <f t="shared" si="39"/>
        <v>0</v>
      </c>
      <c r="AF79">
        <f t="shared" si="40"/>
        <v>0</v>
      </c>
      <c r="AG79">
        <f t="shared" si="41"/>
        <v>0</v>
      </c>
      <c r="AH79">
        <f t="shared" si="42"/>
        <v>0</v>
      </c>
      <c r="AI79">
        <f t="shared" si="43"/>
        <v>0</v>
      </c>
      <c r="AJ79">
        <f t="shared" si="44"/>
        <v>0</v>
      </c>
      <c r="AK79">
        <f t="shared" si="45"/>
        <v>0</v>
      </c>
      <c r="AL79">
        <f t="shared" si="46"/>
        <v>0</v>
      </c>
    </row>
    <row r="80" spans="23:38" x14ac:dyDescent="0.25">
      <c r="W80">
        <f t="shared" si="31"/>
        <v>0</v>
      </c>
      <c r="X80">
        <f t="shared" si="32"/>
        <v>0</v>
      </c>
      <c r="Y80">
        <f t="shared" si="33"/>
        <v>0</v>
      </c>
      <c r="Z80">
        <f t="shared" si="34"/>
        <v>0</v>
      </c>
      <c r="AA80">
        <f t="shared" si="35"/>
        <v>0</v>
      </c>
      <c r="AB80">
        <f t="shared" si="36"/>
        <v>0</v>
      </c>
      <c r="AC80">
        <f t="shared" si="37"/>
        <v>0</v>
      </c>
      <c r="AD80">
        <f t="shared" si="38"/>
        <v>0</v>
      </c>
      <c r="AE80">
        <f t="shared" si="39"/>
        <v>0</v>
      </c>
      <c r="AF80">
        <f t="shared" si="40"/>
        <v>0</v>
      </c>
      <c r="AG80">
        <f t="shared" si="41"/>
        <v>0</v>
      </c>
      <c r="AH80">
        <f t="shared" si="42"/>
        <v>0</v>
      </c>
      <c r="AI80">
        <f t="shared" si="43"/>
        <v>0</v>
      </c>
      <c r="AJ80">
        <f t="shared" si="44"/>
        <v>0</v>
      </c>
      <c r="AK80">
        <f t="shared" si="45"/>
        <v>0</v>
      </c>
      <c r="AL80">
        <f t="shared" si="46"/>
        <v>0</v>
      </c>
    </row>
    <row r="81" spans="23:38" x14ac:dyDescent="0.25">
      <c r="W81">
        <f t="shared" si="31"/>
        <v>0</v>
      </c>
      <c r="X81">
        <f t="shared" si="32"/>
        <v>0</v>
      </c>
      <c r="Y81">
        <f t="shared" si="33"/>
        <v>0</v>
      </c>
      <c r="Z81">
        <f t="shared" si="34"/>
        <v>0</v>
      </c>
      <c r="AA81">
        <f t="shared" si="35"/>
        <v>0</v>
      </c>
      <c r="AB81">
        <f t="shared" si="36"/>
        <v>0</v>
      </c>
      <c r="AC81">
        <f t="shared" si="37"/>
        <v>0</v>
      </c>
      <c r="AD81">
        <f t="shared" si="38"/>
        <v>0</v>
      </c>
      <c r="AE81">
        <f t="shared" si="39"/>
        <v>0</v>
      </c>
      <c r="AF81">
        <f t="shared" si="40"/>
        <v>0</v>
      </c>
      <c r="AG81">
        <f t="shared" si="41"/>
        <v>0</v>
      </c>
      <c r="AH81">
        <f t="shared" si="42"/>
        <v>0</v>
      </c>
      <c r="AI81">
        <f t="shared" si="43"/>
        <v>0</v>
      </c>
      <c r="AJ81">
        <f t="shared" si="44"/>
        <v>0</v>
      </c>
      <c r="AK81">
        <f t="shared" si="45"/>
        <v>0</v>
      </c>
      <c r="AL81">
        <f t="shared" si="46"/>
        <v>0</v>
      </c>
    </row>
    <row r="82" spans="23:38" x14ac:dyDescent="0.25">
      <c r="W82">
        <f t="shared" si="31"/>
        <v>0</v>
      </c>
      <c r="X82">
        <f t="shared" si="32"/>
        <v>0</v>
      </c>
      <c r="Y82">
        <f t="shared" si="33"/>
        <v>0</v>
      </c>
      <c r="Z82">
        <f t="shared" si="34"/>
        <v>0</v>
      </c>
      <c r="AA82">
        <f t="shared" si="35"/>
        <v>0</v>
      </c>
      <c r="AB82">
        <f t="shared" si="36"/>
        <v>0</v>
      </c>
      <c r="AC82">
        <f t="shared" si="37"/>
        <v>0</v>
      </c>
      <c r="AD82">
        <f t="shared" si="38"/>
        <v>0</v>
      </c>
      <c r="AE82">
        <f t="shared" si="39"/>
        <v>0</v>
      </c>
      <c r="AF82">
        <f t="shared" si="40"/>
        <v>0</v>
      </c>
      <c r="AG82">
        <f t="shared" si="41"/>
        <v>0</v>
      </c>
      <c r="AH82">
        <f t="shared" si="42"/>
        <v>0</v>
      </c>
      <c r="AI82">
        <f t="shared" si="43"/>
        <v>0</v>
      </c>
      <c r="AJ82">
        <f t="shared" si="44"/>
        <v>0</v>
      </c>
      <c r="AK82">
        <f t="shared" si="45"/>
        <v>0</v>
      </c>
      <c r="AL82">
        <f t="shared" si="46"/>
        <v>0</v>
      </c>
    </row>
    <row r="83" spans="23:38" x14ac:dyDescent="0.25">
      <c r="W83">
        <f t="shared" si="31"/>
        <v>0</v>
      </c>
      <c r="X83">
        <f t="shared" si="32"/>
        <v>0</v>
      </c>
      <c r="Y83">
        <f t="shared" si="33"/>
        <v>0</v>
      </c>
      <c r="Z83">
        <f t="shared" si="34"/>
        <v>0</v>
      </c>
      <c r="AA83">
        <f t="shared" si="35"/>
        <v>0</v>
      </c>
      <c r="AB83">
        <f t="shared" si="36"/>
        <v>0</v>
      </c>
      <c r="AC83">
        <f t="shared" si="37"/>
        <v>0</v>
      </c>
      <c r="AD83">
        <f t="shared" si="38"/>
        <v>0</v>
      </c>
      <c r="AE83">
        <f t="shared" si="39"/>
        <v>0</v>
      </c>
      <c r="AF83">
        <f t="shared" si="40"/>
        <v>0</v>
      </c>
      <c r="AG83">
        <f t="shared" si="41"/>
        <v>0</v>
      </c>
      <c r="AH83">
        <f t="shared" si="42"/>
        <v>0</v>
      </c>
      <c r="AI83">
        <f t="shared" si="43"/>
        <v>0</v>
      </c>
      <c r="AJ83">
        <f t="shared" si="44"/>
        <v>0</v>
      </c>
      <c r="AK83">
        <f t="shared" si="45"/>
        <v>0</v>
      </c>
      <c r="AL83">
        <f t="shared" si="46"/>
        <v>0</v>
      </c>
    </row>
    <row r="84" spans="23:38" x14ac:dyDescent="0.25">
      <c r="W84">
        <f t="shared" si="31"/>
        <v>0</v>
      </c>
      <c r="X84">
        <f t="shared" si="32"/>
        <v>0</v>
      </c>
      <c r="Y84">
        <f t="shared" si="33"/>
        <v>0</v>
      </c>
      <c r="Z84">
        <f t="shared" si="34"/>
        <v>0</v>
      </c>
      <c r="AA84">
        <f t="shared" si="35"/>
        <v>0</v>
      </c>
      <c r="AB84">
        <f t="shared" si="36"/>
        <v>0</v>
      </c>
      <c r="AC84">
        <f t="shared" si="37"/>
        <v>0</v>
      </c>
      <c r="AD84">
        <f t="shared" si="38"/>
        <v>0</v>
      </c>
      <c r="AE84">
        <f t="shared" si="39"/>
        <v>0</v>
      </c>
      <c r="AF84">
        <f t="shared" si="40"/>
        <v>0</v>
      </c>
      <c r="AG84">
        <f t="shared" si="41"/>
        <v>0</v>
      </c>
      <c r="AH84">
        <f t="shared" si="42"/>
        <v>0</v>
      </c>
      <c r="AI84">
        <f t="shared" si="43"/>
        <v>0</v>
      </c>
      <c r="AJ84">
        <f t="shared" si="44"/>
        <v>0</v>
      </c>
      <c r="AK84">
        <f t="shared" si="45"/>
        <v>0</v>
      </c>
      <c r="AL84">
        <f t="shared" si="46"/>
        <v>0</v>
      </c>
    </row>
    <row r="85" spans="23:38" x14ac:dyDescent="0.25">
      <c r="W85">
        <f t="shared" si="31"/>
        <v>0</v>
      </c>
      <c r="X85">
        <f t="shared" si="32"/>
        <v>0</v>
      </c>
      <c r="Y85">
        <f t="shared" si="33"/>
        <v>0</v>
      </c>
      <c r="Z85">
        <f t="shared" si="34"/>
        <v>0</v>
      </c>
      <c r="AA85">
        <f t="shared" si="35"/>
        <v>0</v>
      </c>
      <c r="AB85">
        <f t="shared" si="36"/>
        <v>0</v>
      </c>
      <c r="AC85">
        <f t="shared" si="37"/>
        <v>0</v>
      </c>
      <c r="AD85">
        <f t="shared" si="38"/>
        <v>0</v>
      </c>
      <c r="AE85">
        <f t="shared" si="39"/>
        <v>0</v>
      </c>
      <c r="AF85">
        <f t="shared" si="40"/>
        <v>0</v>
      </c>
      <c r="AG85">
        <f t="shared" si="41"/>
        <v>0</v>
      </c>
      <c r="AH85">
        <f t="shared" si="42"/>
        <v>0</v>
      </c>
      <c r="AI85">
        <f t="shared" si="43"/>
        <v>0</v>
      </c>
      <c r="AJ85">
        <f t="shared" si="44"/>
        <v>0</v>
      </c>
      <c r="AK85">
        <f t="shared" si="45"/>
        <v>0</v>
      </c>
      <c r="AL85">
        <f t="shared" si="46"/>
        <v>0</v>
      </c>
    </row>
    <row r="86" spans="23:38" x14ac:dyDescent="0.25">
      <c r="W86">
        <f t="shared" si="31"/>
        <v>0</v>
      </c>
      <c r="X86">
        <f t="shared" si="32"/>
        <v>0</v>
      </c>
      <c r="Y86">
        <f t="shared" si="33"/>
        <v>0</v>
      </c>
      <c r="Z86">
        <f t="shared" si="34"/>
        <v>0</v>
      </c>
      <c r="AA86">
        <f t="shared" si="35"/>
        <v>0</v>
      </c>
      <c r="AB86">
        <f t="shared" si="36"/>
        <v>0</v>
      </c>
      <c r="AC86">
        <f t="shared" si="37"/>
        <v>0</v>
      </c>
      <c r="AD86">
        <f t="shared" si="38"/>
        <v>0</v>
      </c>
      <c r="AE86">
        <f t="shared" si="39"/>
        <v>0</v>
      </c>
      <c r="AF86">
        <f t="shared" si="40"/>
        <v>0</v>
      </c>
      <c r="AG86">
        <f t="shared" si="41"/>
        <v>0</v>
      </c>
      <c r="AH86">
        <f t="shared" si="42"/>
        <v>0</v>
      </c>
      <c r="AI86">
        <f t="shared" si="43"/>
        <v>0</v>
      </c>
      <c r="AJ86">
        <f t="shared" si="44"/>
        <v>0</v>
      </c>
      <c r="AK86">
        <f t="shared" si="45"/>
        <v>0</v>
      </c>
      <c r="AL86">
        <f t="shared" si="46"/>
        <v>0</v>
      </c>
    </row>
    <row r="87" spans="23:38" x14ac:dyDescent="0.25">
      <c r="W87">
        <f t="shared" si="31"/>
        <v>0</v>
      </c>
      <c r="X87">
        <f t="shared" si="32"/>
        <v>0</v>
      </c>
      <c r="Y87">
        <f t="shared" si="33"/>
        <v>0</v>
      </c>
      <c r="Z87">
        <f t="shared" si="34"/>
        <v>0</v>
      </c>
      <c r="AA87">
        <f t="shared" si="35"/>
        <v>0</v>
      </c>
      <c r="AB87">
        <f t="shared" si="36"/>
        <v>0</v>
      </c>
      <c r="AC87">
        <f t="shared" si="37"/>
        <v>0</v>
      </c>
      <c r="AD87">
        <f t="shared" si="38"/>
        <v>0</v>
      </c>
      <c r="AE87">
        <f t="shared" si="39"/>
        <v>0</v>
      </c>
      <c r="AF87">
        <f t="shared" si="40"/>
        <v>0</v>
      </c>
      <c r="AG87">
        <f t="shared" si="41"/>
        <v>0</v>
      </c>
      <c r="AH87">
        <f t="shared" si="42"/>
        <v>0</v>
      </c>
      <c r="AI87">
        <f t="shared" si="43"/>
        <v>0</v>
      </c>
      <c r="AJ87">
        <f t="shared" si="44"/>
        <v>0</v>
      </c>
      <c r="AK87">
        <f t="shared" si="45"/>
        <v>0</v>
      </c>
      <c r="AL87">
        <f t="shared" si="46"/>
        <v>0</v>
      </c>
    </row>
    <row r="88" spans="23:38" x14ac:dyDescent="0.25">
      <c r="W88">
        <f t="shared" si="31"/>
        <v>0</v>
      </c>
      <c r="X88">
        <f t="shared" si="32"/>
        <v>0</v>
      </c>
      <c r="Y88">
        <f t="shared" si="33"/>
        <v>0</v>
      </c>
      <c r="Z88">
        <f t="shared" si="34"/>
        <v>0</v>
      </c>
      <c r="AA88">
        <f t="shared" si="35"/>
        <v>0</v>
      </c>
      <c r="AB88">
        <f t="shared" si="36"/>
        <v>0</v>
      </c>
      <c r="AC88">
        <f t="shared" si="37"/>
        <v>0</v>
      </c>
      <c r="AD88">
        <f t="shared" si="38"/>
        <v>0</v>
      </c>
      <c r="AE88">
        <f t="shared" si="39"/>
        <v>0</v>
      </c>
      <c r="AF88">
        <f t="shared" si="40"/>
        <v>0</v>
      </c>
      <c r="AG88">
        <f t="shared" si="41"/>
        <v>0</v>
      </c>
      <c r="AH88">
        <f t="shared" si="42"/>
        <v>0</v>
      </c>
      <c r="AI88">
        <f t="shared" si="43"/>
        <v>0</v>
      </c>
      <c r="AJ88">
        <f t="shared" si="44"/>
        <v>0</v>
      </c>
      <c r="AK88">
        <f t="shared" si="45"/>
        <v>0</v>
      </c>
      <c r="AL88">
        <f t="shared" si="46"/>
        <v>0</v>
      </c>
    </row>
    <row r="89" spans="23:38" x14ac:dyDescent="0.25">
      <c r="W89">
        <f t="shared" si="31"/>
        <v>0</v>
      </c>
      <c r="X89">
        <f t="shared" si="32"/>
        <v>0</v>
      </c>
      <c r="Y89">
        <f t="shared" si="33"/>
        <v>0</v>
      </c>
      <c r="Z89">
        <f t="shared" si="34"/>
        <v>0</v>
      </c>
      <c r="AA89">
        <f t="shared" si="35"/>
        <v>0</v>
      </c>
      <c r="AB89">
        <f t="shared" si="36"/>
        <v>0</v>
      </c>
      <c r="AC89">
        <f t="shared" si="37"/>
        <v>0</v>
      </c>
      <c r="AD89">
        <f t="shared" si="38"/>
        <v>0</v>
      </c>
      <c r="AE89">
        <f t="shared" si="39"/>
        <v>0</v>
      </c>
      <c r="AF89">
        <f t="shared" si="40"/>
        <v>0</v>
      </c>
      <c r="AG89">
        <f t="shared" si="41"/>
        <v>0</v>
      </c>
      <c r="AH89">
        <f t="shared" si="42"/>
        <v>0</v>
      </c>
      <c r="AI89">
        <f t="shared" si="43"/>
        <v>0</v>
      </c>
      <c r="AJ89">
        <f t="shared" si="44"/>
        <v>0</v>
      </c>
      <c r="AK89">
        <f t="shared" si="45"/>
        <v>0</v>
      </c>
      <c r="AL89">
        <f t="shared" si="46"/>
        <v>0</v>
      </c>
    </row>
    <row r="90" spans="23:38" x14ac:dyDescent="0.25">
      <c r="W90">
        <f t="shared" si="31"/>
        <v>0</v>
      </c>
      <c r="X90">
        <f t="shared" si="32"/>
        <v>0</v>
      </c>
      <c r="Y90">
        <f t="shared" si="33"/>
        <v>0</v>
      </c>
      <c r="Z90">
        <f t="shared" si="34"/>
        <v>0</v>
      </c>
      <c r="AA90">
        <f t="shared" si="35"/>
        <v>0</v>
      </c>
      <c r="AB90">
        <f t="shared" si="36"/>
        <v>0</v>
      </c>
      <c r="AC90">
        <f t="shared" si="37"/>
        <v>0</v>
      </c>
      <c r="AD90">
        <f t="shared" si="38"/>
        <v>0</v>
      </c>
      <c r="AE90">
        <f t="shared" si="39"/>
        <v>0</v>
      </c>
      <c r="AF90">
        <f t="shared" si="40"/>
        <v>0</v>
      </c>
      <c r="AG90">
        <f t="shared" si="41"/>
        <v>0</v>
      </c>
      <c r="AH90">
        <f t="shared" si="42"/>
        <v>0</v>
      </c>
      <c r="AI90">
        <f t="shared" si="43"/>
        <v>0</v>
      </c>
      <c r="AJ90">
        <f t="shared" si="44"/>
        <v>0</v>
      </c>
      <c r="AK90">
        <f t="shared" si="45"/>
        <v>0</v>
      </c>
      <c r="AL90">
        <f t="shared" si="46"/>
        <v>0</v>
      </c>
    </row>
    <row r="91" spans="23:38" x14ac:dyDescent="0.25">
      <c r="W91">
        <f t="shared" si="31"/>
        <v>0</v>
      </c>
      <c r="X91">
        <f t="shared" si="32"/>
        <v>0</v>
      </c>
      <c r="Y91">
        <f t="shared" si="33"/>
        <v>0</v>
      </c>
      <c r="Z91">
        <f t="shared" si="34"/>
        <v>0</v>
      </c>
      <c r="AA91">
        <f t="shared" si="35"/>
        <v>0</v>
      </c>
      <c r="AB91">
        <f t="shared" si="36"/>
        <v>0</v>
      </c>
      <c r="AC91">
        <f t="shared" si="37"/>
        <v>0</v>
      </c>
      <c r="AD91">
        <f t="shared" si="38"/>
        <v>0</v>
      </c>
      <c r="AE91">
        <f t="shared" si="39"/>
        <v>0</v>
      </c>
      <c r="AF91">
        <f t="shared" si="40"/>
        <v>0</v>
      </c>
      <c r="AG91">
        <f t="shared" si="41"/>
        <v>0</v>
      </c>
      <c r="AH91">
        <f t="shared" si="42"/>
        <v>0</v>
      </c>
      <c r="AI91">
        <f t="shared" si="43"/>
        <v>0</v>
      </c>
      <c r="AJ91">
        <f t="shared" si="44"/>
        <v>0</v>
      </c>
      <c r="AK91">
        <f t="shared" si="45"/>
        <v>0</v>
      </c>
      <c r="AL91">
        <f t="shared" si="46"/>
        <v>0</v>
      </c>
    </row>
    <row r="92" spans="23:38" x14ac:dyDescent="0.25">
      <c r="W92">
        <f t="shared" si="31"/>
        <v>0</v>
      </c>
      <c r="X92">
        <f t="shared" si="32"/>
        <v>0</v>
      </c>
      <c r="Y92">
        <f t="shared" si="33"/>
        <v>0</v>
      </c>
      <c r="Z92">
        <f t="shared" si="34"/>
        <v>0</v>
      </c>
      <c r="AA92">
        <f t="shared" si="35"/>
        <v>0</v>
      </c>
      <c r="AB92">
        <f t="shared" si="36"/>
        <v>0</v>
      </c>
      <c r="AC92">
        <f t="shared" si="37"/>
        <v>0</v>
      </c>
      <c r="AD92">
        <f t="shared" si="38"/>
        <v>0</v>
      </c>
      <c r="AE92">
        <f t="shared" si="39"/>
        <v>0</v>
      </c>
      <c r="AF92">
        <f t="shared" si="40"/>
        <v>0</v>
      </c>
      <c r="AG92">
        <f t="shared" si="41"/>
        <v>0</v>
      </c>
      <c r="AH92">
        <f t="shared" si="42"/>
        <v>0</v>
      </c>
      <c r="AI92">
        <f t="shared" si="43"/>
        <v>0</v>
      </c>
      <c r="AJ92">
        <f t="shared" si="44"/>
        <v>0</v>
      </c>
      <c r="AK92">
        <f t="shared" si="45"/>
        <v>0</v>
      </c>
      <c r="AL92">
        <f t="shared" si="46"/>
        <v>0</v>
      </c>
    </row>
    <row r="93" spans="23:38" x14ac:dyDescent="0.25">
      <c r="W93">
        <f t="shared" si="31"/>
        <v>0</v>
      </c>
      <c r="X93">
        <f t="shared" si="32"/>
        <v>0</v>
      </c>
      <c r="Y93">
        <f t="shared" si="33"/>
        <v>0</v>
      </c>
      <c r="Z93">
        <f t="shared" si="34"/>
        <v>0</v>
      </c>
      <c r="AA93">
        <f t="shared" si="35"/>
        <v>0</v>
      </c>
      <c r="AB93">
        <f t="shared" si="36"/>
        <v>0</v>
      </c>
      <c r="AC93">
        <f t="shared" si="37"/>
        <v>0</v>
      </c>
      <c r="AD93">
        <f t="shared" si="38"/>
        <v>0</v>
      </c>
      <c r="AE93">
        <f t="shared" si="39"/>
        <v>0</v>
      </c>
      <c r="AF93">
        <f t="shared" si="40"/>
        <v>0</v>
      </c>
      <c r="AG93">
        <f t="shared" si="41"/>
        <v>0</v>
      </c>
      <c r="AH93">
        <f t="shared" si="42"/>
        <v>0</v>
      </c>
      <c r="AI93">
        <f t="shared" si="43"/>
        <v>0</v>
      </c>
      <c r="AJ93">
        <f t="shared" si="44"/>
        <v>0</v>
      </c>
      <c r="AK93">
        <f t="shared" si="45"/>
        <v>0</v>
      </c>
      <c r="AL93">
        <f t="shared" si="46"/>
        <v>0</v>
      </c>
    </row>
    <row r="94" spans="23:38" x14ac:dyDescent="0.25">
      <c r="W94">
        <f t="shared" si="31"/>
        <v>0</v>
      </c>
      <c r="X94">
        <f t="shared" si="32"/>
        <v>0</v>
      </c>
      <c r="Y94">
        <f t="shared" si="33"/>
        <v>0</v>
      </c>
      <c r="Z94">
        <f t="shared" si="34"/>
        <v>0</v>
      </c>
      <c r="AA94">
        <f t="shared" si="35"/>
        <v>0</v>
      </c>
      <c r="AB94">
        <f t="shared" si="36"/>
        <v>0</v>
      </c>
      <c r="AC94">
        <f t="shared" si="37"/>
        <v>0</v>
      </c>
      <c r="AD94">
        <f t="shared" si="38"/>
        <v>0</v>
      </c>
      <c r="AE94">
        <f t="shared" si="39"/>
        <v>0</v>
      </c>
      <c r="AF94">
        <f t="shared" si="40"/>
        <v>0</v>
      </c>
      <c r="AG94">
        <f t="shared" si="41"/>
        <v>0</v>
      </c>
      <c r="AH94">
        <f t="shared" si="42"/>
        <v>0</v>
      </c>
      <c r="AI94">
        <f t="shared" si="43"/>
        <v>0</v>
      </c>
      <c r="AJ94">
        <f t="shared" si="44"/>
        <v>0</v>
      </c>
      <c r="AK94">
        <f t="shared" si="45"/>
        <v>0</v>
      </c>
      <c r="AL94">
        <f t="shared" si="46"/>
        <v>0</v>
      </c>
    </row>
    <row r="95" spans="23:38" x14ac:dyDescent="0.25">
      <c r="W95">
        <f t="shared" si="31"/>
        <v>0</v>
      </c>
      <c r="X95">
        <f t="shared" si="32"/>
        <v>0</v>
      </c>
      <c r="Y95">
        <f t="shared" si="33"/>
        <v>0</v>
      </c>
      <c r="Z95">
        <f t="shared" si="34"/>
        <v>0</v>
      </c>
      <c r="AA95">
        <f t="shared" si="35"/>
        <v>0</v>
      </c>
      <c r="AB95">
        <f t="shared" si="36"/>
        <v>0</v>
      </c>
      <c r="AC95">
        <f t="shared" si="37"/>
        <v>0</v>
      </c>
      <c r="AD95">
        <f t="shared" si="38"/>
        <v>0</v>
      </c>
      <c r="AE95">
        <f t="shared" si="39"/>
        <v>0</v>
      </c>
      <c r="AF95">
        <f t="shared" si="40"/>
        <v>0</v>
      </c>
      <c r="AG95">
        <f t="shared" si="41"/>
        <v>0</v>
      </c>
      <c r="AH95">
        <f t="shared" si="42"/>
        <v>0</v>
      </c>
      <c r="AI95">
        <f t="shared" si="43"/>
        <v>0</v>
      </c>
      <c r="AJ95">
        <f t="shared" si="44"/>
        <v>0</v>
      </c>
      <c r="AK95">
        <f t="shared" si="45"/>
        <v>0</v>
      </c>
      <c r="AL95">
        <f t="shared" si="46"/>
        <v>0</v>
      </c>
    </row>
    <row r="96" spans="23:38" x14ac:dyDescent="0.25">
      <c r="W96">
        <f t="shared" si="31"/>
        <v>0</v>
      </c>
      <c r="X96">
        <f t="shared" si="32"/>
        <v>0</v>
      </c>
      <c r="Y96">
        <f t="shared" si="33"/>
        <v>0</v>
      </c>
      <c r="Z96">
        <f t="shared" si="34"/>
        <v>0</v>
      </c>
      <c r="AA96">
        <f t="shared" si="35"/>
        <v>0</v>
      </c>
      <c r="AB96">
        <f t="shared" si="36"/>
        <v>0</v>
      </c>
      <c r="AC96">
        <f t="shared" si="37"/>
        <v>0</v>
      </c>
      <c r="AD96">
        <f t="shared" si="38"/>
        <v>0</v>
      </c>
      <c r="AE96">
        <f t="shared" si="39"/>
        <v>0</v>
      </c>
      <c r="AF96">
        <f t="shared" si="40"/>
        <v>0</v>
      </c>
      <c r="AG96">
        <f t="shared" si="41"/>
        <v>0</v>
      </c>
      <c r="AH96">
        <f t="shared" si="42"/>
        <v>0</v>
      </c>
      <c r="AI96">
        <f t="shared" si="43"/>
        <v>0</v>
      </c>
      <c r="AJ96">
        <f t="shared" si="44"/>
        <v>0</v>
      </c>
      <c r="AK96">
        <f t="shared" si="45"/>
        <v>0</v>
      </c>
      <c r="AL96">
        <f t="shared" si="46"/>
        <v>0</v>
      </c>
    </row>
    <row r="97" spans="23:38" x14ac:dyDescent="0.25">
      <c r="W97">
        <f t="shared" si="31"/>
        <v>0</v>
      </c>
      <c r="X97">
        <f t="shared" si="32"/>
        <v>0</v>
      </c>
      <c r="Y97">
        <f t="shared" si="33"/>
        <v>0</v>
      </c>
      <c r="Z97">
        <f t="shared" si="34"/>
        <v>0</v>
      </c>
      <c r="AA97">
        <f t="shared" si="35"/>
        <v>0</v>
      </c>
      <c r="AB97">
        <f t="shared" si="36"/>
        <v>0</v>
      </c>
      <c r="AC97">
        <f t="shared" si="37"/>
        <v>0</v>
      </c>
      <c r="AD97">
        <f t="shared" si="38"/>
        <v>0</v>
      </c>
      <c r="AE97">
        <f t="shared" si="39"/>
        <v>0</v>
      </c>
      <c r="AF97">
        <f t="shared" si="40"/>
        <v>0</v>
      </c>
      <c r="AG97">
        <f t="shared" si="41"/>
        <v>0</v>
      </c>
      <c r="AH97">
        <f t="shared" si="42"/>
        <v>0</v>
      </c>
      <c r="AI97">
        <f t="shared" si="43"/>
        <v>0</v>
      </c>
      <c r="AJ97">
        <f t="shared" si="44"/>
        <v>0</v>
      </c>
      <c r="AK97">
        <f t="shared" si="45"/>
        <v>0</v>
      </c>
      <c r="AL97">
        <f t="shared" si="46"/>
        <v>0</v>
      </c>
    </row>
    <row r="98" spans="23:38" x14ac:dyDescent="0.25">
      <c r="W98">
        <f t="shared" si="31"/>
        <v>0</v>
      </c>
      <c r="X98">
        <f t="shared" si="32"/>
        <v>0</v>
      </c>
      <c r="Y98">
        <f t="shared" si="33"/>
        <v>0</v>
      </c>
      <c r="Z98">
        <f t="shared" si="34"/>
        <v>0</v>
      </c>
      <c r="AA98">
        <f t="shared" si="35"/>
        <v>0</v>
      </c>
      <c r="AB98">
        <f t="shared" si="36"/>
        <v>0</v>
      </c>
      <c r="AC98">
        <f t="shared" si="37"/>
        <v>0</v>
      </c>
      <c r="AD98">
        <f t="shared" si="38"/>
        <v>0</v>
      </c>
      <c r="AE98">
        <f t="shared" si="39"/>
        <v>0</v>
      </c>
      <c r="AF98">
        <f t="shared" si="40"/>
        <v>0</v>
      </c>
      <c r="AG98">
        <f t="shared" si="41"/>
        <v>0</v>
      </c>
      <c r="AH98">
        <f t="shared" si="42"/>
        <v>0</v>
      </c>
      <c r="AI98">
        <f t="shared" si="43"/>
        <v>0</v>
      </c>
      <c r="AJ98">
        <f t="shared" si="44"/>
        <v>0</v>
      </c>
      <c r="AK98">
        <f t="shared" si="45"/>
        <v>0</v>
      </c>
      <c r="AL98">
        <f t="shared" si="46"/>
        <v>0</v>
      </c>
    </row>
    <row r="99" spans="23:38" x14ac:dyDescent="0.25">
      <c r="W99">
        <f t="shared" si="31"/>
        <v>0</v>
      </c>
      <c r="X99">
        <f t="shared" si="32"/>
        <v>0</v>
      </c>
      <c r="Y99">
        <f t="shared" si="33"/>
        <v>0</v>
      </c>
      <c r="Z99">
        <f t="shared" si="34"/>
        <v>0</v>
      </c>
      <c r="AA99">
        <f t="shared" si="35"/>
        <v>0</v>
      </c>
      <c r="AB99">
        <f t="shared" si="36"/>
        <v>0</v>
      </c>
      <c r="AC99">
        <f t="shared" si="37"/>
        <v>0</v>
      </c>
      <c r="AD99">
        <f t="shared" si="38"/>
        <v>0</v>
      </c>
      <c r="AE99">
        <f t="shared" si="39"/>
        <v>0</v>
      </c>
      <c r="AF99">
        <f t="shared" si="40"/>
        <v>0</v>
      </c>
      <c r="AG99">
        <f t="shared" si="41"/>
        <v>0</v>
      </c>
      <c r="AH99">
        <f t="shared" si="42"/>
        <v>0</v>
      </c>
      <c r="AI99">
        <f t="shared" si="43"/>
        <v>0</v>
      </c>
      <c r="AJ99">
        <f t="shared" si="44"/>
        <v>0</v>
      </c>
      <c r="AK99">
        <f t="shared" si="45"/>
        <v>0</v>
      </c>
      <c r="AL99">
        <f t="shared" si="46"/>
        <v>0</v>
      </c>
    </row>
    <row r="100" spans="23:38" x14ac:dyDescent="0.25">
      <c r="W100">
        <f t="shared" si="31"/>
        <v>0</v>
      </c>
      <c r="X100">
        <f t="shared" si="32"/>
        <v>0</v>
      </c>
      <c r="Y100">
        <f t="shared" si="33"/>
        <v>0</v>
      </c>
      <c r="Z100">
        <f t="shared" si="34"/>
        <v>0</v>
      </c>
      <c r="AA100">
        <f t="shared" si="35"/>
        <v>0</v>
      </c>
      <c r="AB100">
        <f t="shared" si="36"/>
        <v>0</v>
      </c>
      <c r="AC100">
        <f t="shared" si="37"/>
        <v>0</v>
      </c>
      <c r="AD100">
        <f t="shared" si="38"/>
        <v>0</v>
      </c>
      <c r="AE100">
        <f t="shared" si="39"/>
        <v>0</v>
      </c>
      <c r="AF100">
        <f t="shared" si="40"/>
        <v>0</v>
      </c>
      <c r="AG100">
        <f t="shared" si="41"/>
        <v>0</v>
      </c>
      <c r="AH100">
        <f t="shared" si="42"/>
        <v>0</v>
      </c>
      <c r="AI100">
        <f t="shared" si="43"/>
        <v>0</v>
      </c>
      <c r="AJ100">
        <f t="shared" si="44"/>
        <v>0</v>
      </c>
      <c r="AK100">
        <f t="shared" si="45"/>
        <v>0</v>
      </c>
      <c r="AL100">
        <f t="shared" si="46"/>
        <v>0</v>
      </c>
    </row>
    <row r="101" spans="23:38" x14ac:dyDescent="0.25">
      <c r="W101">
        <f t="shared" si="31"/>
        <v>0</v>
      </c>
      <c r="X101">
        <f t="shared" ref="X101:X132" si="47">_xlfn.IFNA(LOOKUP(B101,$T$6:$T$25,$U$6:$U$25),0)+COUNTIF(B$1:B$3,$W101)</f>
        <v>0</v>
      </c>
      <c r="Y101">
        <f t="shared" ref="Y101:Y132" si="48">_xlfn.IFNA(LOOKUP(C101,$T$6:$T$25,$U$6:$U$25),0)+COUNTIF(C$1:C$3,$W101)</f>
        <v>0</v>
      </c>
      <c r="Z101">
        <f t="shared" ref="Z101:Z132" si="49">_xlfn.IFNA(LOOKUP(D101,$T$6:$T$25,$U$6:$U$25),0)+COUNTIF(D$1:D$3,$W101)</f>
        <v>0</v>
      </c>
      <c r="AA101">
        <f t="shared" ref="AA101:AA132" si="50">_xlfn.IFNA(LOOKUP(E101,$T$6:$T$25,$U$6:$U$25),0)+COUNTIF(E$1:E$3,$W101)</f>
        <v>0</v>
      </c>
      <c r="AB101">
        <f t="shared" ref="AB101:AB132" si="51">_xlfn.IFNA(LOOKUP(F101,$T$6:$T$25,$U$6:$U$25),0)+COUNTIF(F$1:F$3,$W101)</f>
        <v>0</v>
      </c>
      <c r="AC101">
        <f t="shared" ref="AC101:AC132" si="52">_xlfn.IFNA(LOOKUP(G101,$T$6:$T$25,$U$6:$U$25),0)+COUNTIF(G$1:G$3,$W101)</f>
        <v>0</v>
      </c>
      <c r="AD101">
        <f t="shared" ref="AD101:AD132" si="53">_xlfn.IFNA(LOOKUP(H101,$T$6:$T$25,$U$6:$U$25),0)+COUNTIF(H$1:H$3,$W101)</f>
        <v>0</v>
      </c>
      <c r="AE101">
        <f t="shared" ref="AE101:AE132" si="54">_xlfn.IFNA(LOOKUP(I101,$T$6:$T$25,$U$6:$U$25),0)+COUNTIF(I$1:I$3,$W101)</f>
        <v>0</v>
      </c>
      <c r="AF101">
        <f t="shared" ref="AF101:AF132" si="55">_xlfn.IFNA(LOOKUP(J101,$T$6:$T$25,$U$6:$U$25),0)+COUNTIF(J$1:J$3,$W101)</f>
        <v>0</v>
      </c>
      <c r="AG101">
        <f t="shared" ref="AG101:AG132" si="56">_xlfn.IFNA(LOOKUP(K101,$T$6:$T$25,$U$6:$U$25),0)+COUNTIF(K$1:K$3,$W101)</f>
        <v>0</v>
      </c>
      <c r="AH101">
        <f t="shared" ref="AH101:AH132" si="57">_xlfn.IFNA(LOOKUP(L101,$T$6:$T$25,$U$6:$U$25),0)+COUNTIF(L$1:L$3,$W101)</f>
        <v>0</v>
      </c>
      <c r="AI101">
        <f t="shared" ref="AI101:AI132" si="58">_xlfn.IFNA(LOOKUP(M101,$T$6:$T$25,$U$6:$U$25),0)+COUNTIF(M$1:M$3,$W101)</f>
        <v>0</v>
      </c>
      <c r="AJ101">
        <f t="shared" ref="AJ101:AJ132" si="59">_xlfn.IFNA(LOOKUP(N101,$T$6:$T$25,$U$6:$U$25),0)+COUNTIF(N$1:N$3,$W101)</f>
        <v>0</v>
      </c>
      <c r="AK101">
        <f t="shared" ref="AK101:AK132" si="60">_xlfn.IFNA(LOOKUP(O101,$T$6:$T$25,$U$6:$U$25),0)+COUNTIF(O$1:O$3,$W101)</f>
        <v>0</v>
      </c>
      <c r="AL101">
        <f t="shared" si="46"/>
        <v>0</v>
      </c>
    </row>
    <row r="102" spans="23:38" x14ac:dyDescent="0.25">
      <c r="W102">
        <f t="shared" si="31"/>
        <v>0</v>
      </c>
      <c r="X102">
        <f t="shared" si="47"/>
        <v>0</v>
      </c>
      <c r="Y102">
        <f t="shared" si="48"/>
        <v>0</v>
      </c>
      <c r="Z102">
        <f t="shared" si="49"/>
        <v>0</v>
      </c>
      <c r="AA102">
        <f t="shared" si="50"/>
        <v>0</v>
      </c>
      <c r="AB102">
        <f t="shared" si="51"/>
        <v>0</v>
      </c>
      <c r="AC102">
        <f t="shared" si="52"/>
        <v>0</v>
      </c>
      <c r="AD102">
        <f t="shared" si="53"/>
        <v>0</v>
      </c>
      <c r="AE102">
        <f t="shared" si="54"/>
        <v>0</v>
      </c>
      <c r="AF102">
        <f t="shared" si="55"/>
        <v>0</v>
      </c>
      <c r="AG102">
        <f t="shared" si="56"/>
        <v>0</v>
      </c>
      <c r="AH102">
        <f t="shared" si="57"/>
        <v>0</v>
      </c>
      <c r="AI102">
        <f t="shared" si="58"/>
        <v>0</v>
      </c>
      <c r="AJ102">
        <f t="shared" si="59"/>
        <v>0</v>
      </c>
      <c r="AK102">
        <f t="shared" si="60"/>
        <v>0</v>
      </c>
      <c r="AL102">
        <f t="shared" si="46"/>
        <v>0</v>
      </c>
    </row>
    <row r="103" spans="23:38" x14ac:dyDescent="0.25">
      <c r="W103">
        <f t="shared" si="31"/>
        <v>0</v>
      </c>
      <c r="X103">
        <f t="shared" si="47"/>
        <v>0</v>
      </c>
      <c r="Y103">
        <f t="shared" si="48"/>
        <v>0</v>
      </c>
      <c r="Z103">
        <f t="shared" si="49"/>
        <v>0</v>
      </c>
      <c r="AA103">
        <f t="shared" si="50"/>
        <v>0</v>
      </c>
      <c r="AB103">
        <f t="shared" si="51"/>
        <v>0</v>
      </c>
      <c r="AC103">
        <f t="shared" si="52"/>
        <v>0</v>
      </c>
      <c r="AD103">
        <f t="shared" si="53"/>
        <v>0</v>
      </c>
      <c r="AE103">
        <f t="shared" si="54"/>
        <v>0</v>
      </c>
      <c r="AF103">
        <f t="shared" si="55"/>
        <v>0</v>
      </c>
      <c r="AG103">
        <f t="shared" si="56"/>
        <v>0</v>
      </c>
      <c r="AH103">
        <f t="shared" si="57"/>
        <v>0</v>
      </c>
      <c r="AI103">
        <f t="shared" si="58"/>
        <v>0</v>
      </c>
      <c r="AJ103">
        <f t="shared" si="59"/>
        <v>0</v>
      </c>
      <c r="AK103">
        <f t="shared" si="60"/>
        <v>0</v>
      </c>
      <c r="AL103">
        <f t="shared" si="46"/>
        <v>0</v>
      </c>
    </row>
    <row r="104" spans="23:38" x14ac:dyDescent="0.25">
      <c r="W104">
        <f t="shared" si="31"/>
        <v>0</v>
      </c>
      <c r="X104">
        <f t="shared" si="47"/>
        <v>0</v>
      </c>
      <c r="Y104">
        <f t="shared" si="48"/>
        <v>0</v>
      </c>
      <c r="Z104">
        <f t="shared" si="49"/>
        <v>0</v>
      </c>
      <c r="AA104">
        <f t="shared" si="50"/>
        <v>0</v>
      </c>
      <c r="AB104">
        <f t="shared" si="51"/>
        <v>0</v>
      </c>
      <c r="AC104">
        <f t="shared" si="52"/>
        <v>0</v>
      </c>
      <c r="AD104">
        <f t="shared" si="53"/>
        <v>0</v>
      </c>
      <c r="AE104">
        <f t="shared" si="54"/>
        <v>0</v>
      </c>
      <c r="AF104">
        <f t="shared" si="55"/>
        <v>0</v>
      </c>
      <c r="AG104">
        <f t="shared" si="56"/>
        <v>0</v>
      </c>
      <c r="AH104">
        <f t="shared" si="57"/>
        <v>0</v>
      </c>
      <c r="AI104">
        <f t="shared" si="58"/>
        <v>0</v>
      </c>
      <c r="AJ104">
        <f t="shared" si="59"/>
        <v>0</v>
      </c>
      <c r="AK104">
        <f t="shared" si="60"/>
        <v>0</v>
      </c>
      <c r="AL104">
        <f t="shared" si="46"/>
        <v>0</v>
      </c>
    </row>
    <row r="105" spans="23:38" x14ac:dyDescent="0.25">
      <c r="W105">
        <f t="shared" si="31"/>
        <v>0</v>
      </c>
      <c r="X105">
        <f t="shared" si="47"/>
        <v>0</v>
      </c>
      <c r="Y105">
        <f t="shared" si="48"/>
        <v>0</v>
      </c>
      <c r="Z105">
        <f t="shared" si="49"/>
        <v>0</v>
      </c>
      <c r="AA105">
        <f t="shared" si="50"/>
        <v>0</v>
      </c>
      <c r="AB105">
        <f t="shared" si="51"/>
        <v>0</v>
      </c>
      <c r="AC105">
        <f t="shared" si="52"/>
        <v>0</v>
      </c>
      <c r="AD105">
        <f t="shared" si="53"/>
        <v>0</v>
      </c>
      <c r="AE105">
        <f t="shared" si="54"/>
        <v>0</v>
      </c>
      <c r="AF105">
        <f t="shared" si="55"/>
        <v>0</v>
      </c>
      <c r="AG105">
        <f t="shared" si="56"/>
        <v>0</v>
      </c>
      <c r="AH105">
        <f t="shared" si="57"/>
        <v>0</v>
      </c>
      <c r="AI105">
        <f t="shared" si="58"/>
        <v>0</v>
      </c>
      <c r="AJ105">
        <f t="shared" si="59"/>
        <v>0</v>
      </c>
      <c r="AK105">
        <f t="shared" si="60"/>
        <v>0</v>
      </c>
      <c r="AL105">
        <f t="shared" si="46"/>
        <v>0</v>
      </c>
    </row>
    <row r="106" spans="23:38" x14ac:dyDescent="0.25">
      <c r="W106">
        <f t="shared" si="31"/>
        <v>0</v>
      </c>
      <c r="X106">
        <f t="shared" si="47"/>
        <v>0</v>
      </c>
      <c r="Y106">
        <f t="shared" si="48"/>
        <v>0</v>
      </c>
      <c r="Z106">
        <f t="shared" si="49"/>
        <v>0</v>
      </c>
      <c r="AA106">
        <f t="shared" si="50"/>
        <v>0</v>
      </c>
      <c r="AB106">
        <f t="shared" si="51"/>
        <v>0</v>
      </c>
      <c r="AC106">
        <f t="shared" si="52"/>
        <v>0</v>
      </c>
      <c r="AD106">
        <f t="shared" si="53"/>
        <v>0</v>
      </c>
      <c r="AE106">
        <f t="shared" si="54"/>
        <v>0</v>
      </c>
      <c r="AF106">
        <f t="shared" si="55"/>
        <v>0</v>
      </c>
      <c r="AG106">
        <f t="shared" si="56"/>
        <v>0</v>
      </c>
      <c r="AH106">
        <f t="shared" si="57"/>
        <v>0</v>
      </c>
      <c r="AI106">
        <f t="shared" si="58"/>
        <v>0</v>
      </c>
      <c r="AJ106">
        <f t="shared" si="59"/>
        <v>0</v>
      </c>
      <c r="AK106">
        <f t="shared" si="60"/>
        <v>0</v>
      </c>
      <c r="AL106">
        <f t="shared" si="46"/>
        <v>0</v>
      </c>
    </row>
    <row r="107" spans="23:38" x14ac:dyDescent="0.25">
      <c r="W107">
        <f t="shared" si="31"/>
        <v>0</v>
      </c>
      <c r="X107">
        <f t="shared" si="47"/>
        <v>0</v>
      </c>
      <c r="Y107">
        <f t="shared" si="48"/>
        <v>0</v>
      </c>
      <c r="Z107">
        <f t="shared" si="49"/>
        <v>0</v>
      </c>
      <c r="AA107">
        <f t="shared" si="50"/>
        <v>0</v>
      </c>
      <c r="AB107">
        <f t="shared" si="51"/>
        <v>0</v>
      </c>
      <c r="AC107">
        <f t="shared" si="52"/>
        <v>0</v>
      </c>
      <c r="AD107">
        <f t="shared" si="53"/>
        <v>0</v>
      </c>
      <c r="AE107">
        <f t="shared" si="54"/>
        <v>0</v>
      </c>
      <c r="AF107">
        <f t="shared" si="55"/>
        <v>0</v>
      </c>
      <c r="AG107">
        <f t="shared" si="56"/>
        <v>0</v>
      </c>
      <c r="AH107">
        <f t="shared" si="57"/>
        <v>0</v>
      </c>
      <c r="AI107">
        <f t="shared" si="58"/>
        <v>0</v>
      </c>
      <c r="AJ107">
        <f t="shared" si="59"/>
        <v>0</v>
      </c>
      <c r="AK107">
        <f t="shared" si="60"/>
        <v>0</v>
      </c>
      <c r="AL107">
        <f t="shared" si="46"/>
        <v>0</v>
      </c>
    </row>
    <row r="108" spans="23:38" x14ac:dyDescent="0.25">
      <c r="W108">
        <f t="shared" si="31"/>
        <v>0</v>
      </c>
      <c r="X108">
        <f t="shared" si="47"/>
        <v>0</v>
      </c>
      <c r="Y108">
        <f t="shared" si="48"/>
        <v>0</v>
      </c>
      <c r="Z108">
        <f t="shared" si="49"/>
        <v>0</v>
      </c>
      <c r="AA108">
        <f t="shared" si="50"/>
        <v>0</v>
      </c>
      <c r="AB108">
        <f t="shared" si="51"/>
        <v>0</v>
      </c>
      <c r="AC108">
        <f t="shared" si="52"/>
        <v>0</v>
      </c>
      <c r="AD108">
        <f t="shared" si="53"/>
        <v>0</v>
      </c>
      <c r="AE108">
        <f t="shared" si="54"/>
        <v>0</v>
      </c>
      <c r="AF108">
        <f t="shared" si="55"/>
        <v>0</v>
      </c>
      <c r="AG108">
        <f t="shared" si="56"/>
        <v>0</v>
      </c>
      <c r="AH108">
        <f t="shared" si="57"/>
        <v>0</v>
      </c>
      <c r="AI108">
        <f t="shared" si="58"/>
        <v>0</v>
      </c>
      <c r="AJ108">
        <f t="shared" si="59"/>
        <v>0</v>
      </c>
      <c r="AK108">
        <f t="shared" si="60"/>
        <v>0</v>
      </c>
      <c r="AL108">
        <f t="shared" si="46"/>
        <v>0</v>
      </c>
    </row>
    <row r="109" spans="23:38" x14ac:dyDescent="0.25">
      <c r="W109">
        <f t="shared" si="31"/>
        <v>0</v>
      </c>
      <c r="X109">
        <f t="shared" si="47"/>
        <v>0</v>
      </c>
      <c r="Y109">
        <f t="shared" si="48"/>
        <v>0</v>
      </c>
      <c r="Z109">
        <f t="shared" si="49"/>
        <v>0</v>
      </c>
      <c r="AA109">
        <f t="shared" si="50"/>
        <v>0</v>
      </c>
      <c r="AB109">
        <f t="shared" si="51"/>
        <v>0</v>
      </c>
      <c r="AC109">
        <f t="shared" si="52"/>
        <v>0</v>
      </c>
      <c r="AD109">
        <f t="shared" si="53"/>
        <v>0</v>
      </c>
      <c r="AE109">
        <f t="shared" si="54"/>
        <v>0</v>
      </c>
      <c r="AF109">
        <f t="shared" si="55"/>
        <v>0</v>
      </c>
      <c r="AG109">
        <f t="shared" si="56"/>
        <v>0</v>
      </c>
      <c r="AH109">
        <f t="shared" si="57"/>
        <v>0</v>
      </c>
      <c r="AI109">
        <f t="shared" si="58"/>
        <v>0</v>
      </c>
      <c r="AJ109">
        <f t="shared" si="59"/>
        <v>0</v>
      </c>
      <c r="AK109">
        <f t="shared" si="60"/>
        <v>0</v>
      </c>
      <c r="AL109">
        <f t="shared" si="46"/>
        <v>0</v>
      </c>
    </row>
    <row r="110" spans="23:38" x14ac:dyDescent="0.25">
      <c r="W110">
        <f t="shared" si="31"/>
        <v>0</v>
      </c>
      <c r="X110">
        <f t="shared" si="47"/>
        <v>0</v>
      </c>
      <c r="Y110">
        <f t="shared" si="48"/>
        <v>0</v>
      </c>
      <c r="Z110">
        <f t="shared" si="49"/>
        <v>0</v>
      </c>
      <c r="AA110">
        <f t="shared" si="50"/>
        <v>0</v>
      </c>
      <c r="AB110">
        <f t="shared" si="51"/>
        <v>0</v>
      </c>
      <c r="AC110">
        <f t="shared" si="52"/>
        <v>0</v>
      </c>
      <c r="AD110">
        <f t="shared" si="53"/>
        <v>0</v>
      </c>
      <c r="AE110">
        <f t="shared" si="54"/>
        <v>0</v>
      </c>
      <c r="AF110">
        <f t="shared" si="55"/>
        <v>0</v>
      </c>
      <c r="AG110">
        <f t="shared" si="56"/>
        <v>0</v>
      </c>
      <c r="AH110">
        <f t="shared" si="57"/>
        <v>0</v>
      </c>
      <c r="AI110">
        <f t="shared" si="58"/>
        <v>0</v>
      </c>
      <c r="AJ110">
        <f t="shared" si="59"/>
        <v>0</v>
      </c>
      <c r="AK110">
        <f t="shared" si="60"/>
        <v>0</v>
      </c>
      <c r="AL110">
        <f t="shared" si="46"/>
        <v>0</v>
      </c>
    </row>
    <row r="111" spans="23:38" x14ac:dyDescent="0.25">
      <c r="W111">
        <f t="shared" si="31"/>
        <v>0</v>
      </c>
      <c r="X111">
        <f t="shared" si="47"/>
        <v>0</v>
      </c>
      <c r="Y111">
        <f t="shared" si="48"/>
        <v>0</v>
      </c>
      <c r="Z111">
        <f t="shared" si="49"/>
        <v>0</v>
      </c>
      <c r="AA111">
        <f t="shared" si="50"/>
        <v>0</v>
      </c>
      <c r="AB111">
        <f t="shared" si="51"/>
        <v>0</v>
      </c>
      <c r="AC111">
        <f t="shared" si="52"/>
        <v>0</v>
      </c>
      <c r="AD111">
        <f t="shared" si="53"/>
        <v>0</v>
      </c>
      <c r="AE111">
        <f t="shared" si="54"/>
        <v>0</v>
      </c>
      <c r="AF111">
        <f t="shared" si="55"/>
        <v>0</v>
      </c>
      <c r="AG111">
        <f t="shared" si="56"/>
        <v>0</v>
      </c>
      <c r="AH111">
        <f t="shared" si="57"/>
        <v>0</v>
      </c>
      <c r="AI111">
        <f t="shared" si="58"/>
        <v>0</v>
      </c>
      <c r="AJ111">
        <f t="shared" si="59"/>
        <v>0</v>
      </c>
      <c r="AK111">
        <f t="shared" si="60"/>
        <v>0</v>
      </c>
      <c r="AL111">
        <f t="shared" si="46"/>
        <v>0</v>
      </c>
    </row>
    <row r="112" spans="23:38" x14ac:dyDescent="0.25">
      <c r="W112">
        <f t="shared" si="31"/>
        <v>0</v>
      </c>
      <c r="X112">
        <f t="shared" si="47"/>
        <v>0</v>
      </c>
      <c r="Y112">
        <f t="shared" si="48"/>
        <v>0</v>
      </c>
      <c r="Z112">
        <f t="shared" si="49"/>
        <v>0</v>
      </c>
      <c r="AA112">
        <f t="shared" si="50"/>
        <v>0</v>
      </c>
      <c r="AB112">
        <f t="shared" si="51"/>
        <v>0</v>
      </c>
      <c r="AC112">
        <f t="shared" si="52"/>
        <v>0</v>
      </c>
      <c r="AD112">
        <f t="shared" si="53"/>
        <v>0</v>
      </c>
      <c r="AE112">
        <f t="shared" si="54"/>
        <v>0</v>
      </c>
      <c r="AF112">
        <f t="shared" si="55"/>
        <v>0</v>
      </c>
      <c r="AG112">
        <f t="shared" si="56"/>
        <v>0</v>
      </c>
      <c r="AH112">
        <f t="shared" si="57"/>
        <v>0</v>
      </c>
      <c r="AI112">
        <f t="shared" si="58"/>
        <v>0</v>
      </c>
      <c r="AJ112">
        <f t="shared" si="59"/>
        <v>0</v>
      </c>
      <c r="AK112">
        <f t="shared" si="60"/>
        <v>0</v>
      </c>
      <c r="AL112">
        <f t="shared" si="46"/>
        <v>0</v>
      </c>
    </row>
    <row r="113" spans="23:38" x14ac:dyDescent="0.25">
      <c r="W113">
        <f t="shared" si="31"/>
        <v>0</v>
      </c>
      <c r="X113">
        <f t="shared" si="47"/>
        <v>0</v>
      </c>
      <c r="Y113">
        <f t="shared" si="48"/>
        <v>0</v>
      </c>
      <c r="Z113">
        <f t="shared" si="49"/>
        <v>0</v>
      </c>
      <c r="AA113">
        <f t="shared" si="50"/>
        <v>0</v>
      </c>
      <c r="AB113">
        <f t="shared" si="51"/>
        <v>0</v>
      </c>
      <c r="AC113">
        <f t="shared" si="52"/>
        <v>0</v>
      </c>
      <c r="AD113">
        <f t="shared" si="53"/>
        <v>0</v>
      </c>
      <c r="AE113">
        <f t="shared" si="54"/>
        <v>0</v>
      </c>
      <c r="AF113">
        <f t="shared" si="55"/>
        <v>0</v>
      </c>
      <c r="AG113">
        <f t="shared" si="56"/>
        <v>0</v>
      </c>
      <c r="AH113">
        <f t="shared" si="57"/>
        <v>0</v>
      </c>
      <c r="AI113">
        <f t="shared" si="58"/>
        <v>0</v>
      </c>
      <c r="AJ113">
        <f t="shared" si="59"/>
        <v>0</v>
      </c>
      <c r="AK113">
        <f t="shared" si="60"/>
        <v>0</v>
      </c>
      <c r="AL113">
        <f t="shared" si="46"/>
        <v>0</v>
      </c>
    </row>
    <row r="114" spans="23:38" x14ac:dyDescent="0.25">
      <c r="W114">
        <f t="shared" si="31"/>
        <v>0</v>
      </c>
      <c r="X114">
        <f t="shared" si="47"/>
        <v>0</v>
      </c>
      <c r="Y114">
        <f t="shared" si="48"/>
        <v>0</v>
      </c>
      <c r="Z114">
        <f t="shared" si="49"/>
        <v>0</v>
      </c>
      <c r="AA114">
        <f t="shared" si="50"/>
        <v>0</v>
      </c>
      <c r="AB114">
        <f t="shared" si="51"/>
        <v>0</v>
      </c>
      <c r="AC114">
        <f t="shared" si="52"/>
        <v>0</v>
      </c>
      <c r="AD114">
        <f t="shared" si="53"/>
        <v>0</v>
      </c>
      <c r="AE114">
        <f t="shared" si="54"/>
        <v>0</v>
      </c>
      <c r="AF114">
        <f t="shared" si="55"/>
        <v>0</v>
      </c>
      <c r="AG114">
        <f t="shared" si="56"/>
        <v>0</v>
      </c>
      <c r="AH114">
        <f t="shared" si="57"/>
        <v>0</v>
      </c>
      <c r="AI114">
        <f t="shared" si="58"/>
        <v>0</v>
      </c>
      <c r="AJ114">
        <f t="shared" si="59"/>
        <v>0</v>
      </c>
      <c r="AK114">
        <f t="shared" si="60"/>
        <v>0</v>
      </c>
      <c r="AL114">
        <f t="shared" si="46"/>
        <v>0</v>
      </c>
    </row>
    <row r="115" spans="23:38" x14ac:dyDescent="0.25">
      <c r="W115">
        <f t="shared" si="31"/>
        <v>0</v>
      </c>
      <c r="X115">
        <f t="shared" si="47"/>
        <v>0</v>
      </c>
      <c r="Y115">
        <f t="shared" si="48"/>
        <v>0</v>
      </c>
      <c r="Z115">
        <f t="shared" si="49"/>
        <v>0</v>
      </c>
      <c r="AA115">
        <f t="shared" si="50"/>
        <v>0</v>
      </c>
      <c r="AB115">
        <f t="shared" si="51"/>
        <v>0</v>
      </c>
      <c r="AC115">
        <f t="shared" si="52"/>
        <v>0</v>
      </c>
      <c r="AD115">
        <f t="shared" si="53"/>
        <v>0</v>
      </c>
      <c r="AE115">
        <f t="shared" si="54"/>
        <v>0</v>
      </c>
      <c r="AF115">
        <f t="shared" si="55"/>
        <v>0</v>
      </c>
      <c r="AG115">
        <f t="shared" si="56"/>
        <v>0</v>
      </c>
      <c r="AH115">
        <f t="shared" si="57"/>
        <v>0</v>
      </c>
      <c r="AI115">
        <f t="shared" si="58"/>
        <v>0</v>
      </c>
      <c r="AJ115">
        <f t="shared" si="59"/>
        <v>0</v>
      </c>
      <c r="AK115">
        <f t="shared" si="60"/>
        <v>0</v>
      </c>
      <c r="AL115">
        <f t="shared" si="46"/>
        <v>0</v>
      </c>
    </row>
    <row r="116" spans="23:38" x14ac:dyDescent="0.25">
      <c r="W116">
        <f t="shared" si="31"/>
        <v>0</v>
      </c>
      <c r="X116">
        <f t="shared" si="47"/>
        <v>0</v>
      </c>
      <c r="Y116">
        <f t="shared" si="48"/>
        <v>0</v>
      </c>
      <c r="Z116">
        <f t="shared" si="49"/>
        <v>0</v>
      </c>
      <c r="AA116">
        <f t="shared" si="50"/>
        <v>0</v>
      </c>
      <c r="AB116">
        <f t="shared" si="51"/>
        <v>0</v>
      </c>
      <c r="AC116">
        <f t="shared" si="52"/>
        <v>0</v>
      </c>
      <c r="AD116">
        <f t="shared" si="53"/>
        <v>0</v>
      </c>
      <c r="AE116">
        <f t="shared" si="54"/>
        <v>0</v>
      </c>
      <c r="AF116">
        <f t="shared" si="55"/>
        <v>0</v>
      </c>
      <c r="AG116">
        <f t="shared" si="56"/>
        <v>0</v>
      </c>
      <c r="AH116">
        <f t="shared" si="57"/>
        <v>0</v>
      </c>
      <c r="AI116">
        <f t="shared" si="58"/>
        <v>0</v>
      </c>
      <c r="AJ116">
        <f t="shared" si="59"/>
        <v>0</v>
      </c>
      <c r="AK116">
        <f t="shared" si="60"/>
        <v>0</v>
      </c>
      <c r="AL116">
        <f t="shared" si="46"/>
        <v>0</v>
      </c>
    </row>
    <row r="117" spans="23:38" x14ac:dyDescent="0.25">
      <c r="W117">
        <f t="shared" si="31"/>
        <v>0</v>
      </c>
      <c r="X117">
        <f t="shared" si="47"/>
        <v>0</v>
      </c>
      <c r="Y117">
        <f t="shared" si="48"/>
        <v>0</v>
      </c>
      <c r="Z117">
        <f t="shared" si="49"/>
        <v>0</v>
      </c>
      <c r="AA117">
        <f t="shared" si="50"/>
        <v>0</v>
      </c>
      <c r="AB117">
        <f t="shared" si="51"/>
        <v>0</v>
      </c>
      <c r="AC117">
        <f t="shared" si="52"/>
        <v>0</v>
      </c>
      <c r="AD117">
        <f t="shared" si="53"/>
        <v>0</v>
      </c>
      <c r="AE117">
        <f t="shared" si="54"/>
        <v>0</v>
      </c>
      <c r="AF117">
        <f t="shared" si="55"/>
        <v>0</v>
      </c>
      <c r="AG117">
        <f t="shared" si="56"/>
        <v>0</v>
      </c>
      <c r="AH117">
        <f t="shared" si="57"/>
        <v>0</v>
      </c>
      <c r="AI117">
        <f t="shared" si="58"/>
        <v>0</v>
      </c>
      <c r="AJ117">
        <f t="shared" si="59"/>
        <v>0</v>
      </c>
      <c r="AK117">
        <f t="shared" si="60"/>
        <v>0</v>
      </c>
      <c r="AL117">
        <f t="shared" si="46"/>
        <v>0</v>
      </c>
    </row>
    <row r="118" spans="23:38" x14ac:dyDescent="0.25">
      <c r="W118">
        <f t="shared" si="31"/>
        <v>0</v>
      </c>
      <c r="X118">
        <f t="shared" si="47"/>
        <v>0</v>
      </c>
      <c r="Y118">
        <f t="shared" si="48"/>
        <v>0</v>
      </c>
      <c r="Z118">
        <f t="shared" si="49"/>
        <v>0</v>
      </c>
      <c r="AA118">
        <f t="shared" si="50"/>
        <v>0</v>
      </c>
      <c r="AB118">
        <f t="shared" si="51"/>
        <v>0</v>
      </c>
      <c r="AC118">
        <f t="shared" si="52"/>
        <v>0</v>
      </c>
      <c r="AD118">
        <f t="shared" si="53"/>
        <v>0</v>
      </c>
      <c r="AE118">
        <f t="shared" si="54"/>
        <v>0</v>
      </c>
      <c r="AF118">
        <f t="shared" si="55"/>
        <v>0</v>
      </c>
      <c r="AG118">
        <f t="shared" si="56"/>
        <v>0</v>
      </c>
      <c r="AH118">
        <f t="shared" si="57"/>
        <v>0</v>
      </c>
      <c r="AI118">
        <f t="shared" si="58"/>
        <v>0</v>
      </c>
      <c r="AJ118">
        <f t="shared" si="59"/>
        <v>0</v>
      </c>
      <c r="AK118">
        <f t="shared" si="60"/>
        <v>0</v>
      </c>
      <c r="AL118">
        <f t="shared" si="46"/>
        <v>0</v>
      </c>
    </row>
    <row r="119" spans="23:38" x14ac:dyDescent="0.25">
      <c r="W119">
        <f t="shared" si="31"/>
        <v>0</v>
      </c>
      <c r="X119">
        <f t="shared" si="47"/>
        <v>0</v>
      </c>
      <c r="Y119">
        <f t="shared" si="48"/>
        <v>0</v>
      </c>
      <c r="Z119">
        <f t="shared" si="49"/>
        <v>0</v>
      </c>
      <c r="AA119">
        <f t="shared" si="50"/>
        <v>0</v>
      </c>
      <c r="AB119">
        <f t="shared" si="51"/>
        <v>0</v>
      </c>
      <c r="AC119">
        <f t="shared" si="52"/>
        <v>0</v>
      </c>
      <c r="AD119">
        <f t="shared" si="53"/>
        <v>0</v>
      </c>
      <c r="AE119">
        <f t="shared" si="54"/>
        <v>0</v>
      </c>
      <c r="AF119">
        <f t="shared" si="55"/>
        <v>0</v>
      </c>
      <c r="AG119">
        <f t="shared" si="56"/>
        <v>0</v>
      </c>
      <c r="AH119">
        <f t="shared" si="57"/>
        <v>0</v>
      </c>
      <c r="AI119">
        <f t="shared" si="58"/>
        <v>0</v>
      </c>
      <c r="AJ119">
        <f t="shared" si="59"/>
        <v>0</v>
      </c>
      <c r="AK119">
        <f t="shared" si="60"/>
        <v>0</v>
      </c>
      <c r="AL119">
        <f t="shared" si="46"/>
        <v>0</v>
      </c>
    </row>
    <row r="120" spans="23:38" x14ac:dyDescent="0.25">
      <c r="W120">
        <f t="shared" si="31"/>
        <v>0</v>
      </c>
      <c r="X120">
        <f t="shared" si="47"/>
        <v>0</v>
      </c>
      <c r="Y120">
        <f t="shared" si="48"/>
        <v>0</v>
      </c>
      <c r="Z120">
        <f t="shared" si="49"/>
        <v>0</v>
      </c>
      <c r="AA120">
        <f t="shared" si="50"/>
        <v>0</v>
      </c>
      <c r="AB120">
        <f t="shared" si="51"/>
        <v>0</v>
      </c>
      <c r="AC120">
        <f t="shared" si="52"/>
        <v>0</v>
      </c>
      <c r="AD120">
        <f t="shared" si="53"/>
        <v>0</v>
      </c>
      <c r="AE120">
        <f t="shared" si="54"/>
        <v>0</v>
      </c>
      <c r="AF120">
        <f t="shared" si="55"/>
        <v>0</v>
      </c>
      <c r="AG120">
        <f t="shared" si="56"/>
        <v>0</v>
      </c>
      <c r="AH120">
        <f t="shared" si="57"/>
        <v>0</v>
      </c>
      <c r="AI120">
        <f t="shared" si="58"/>
        <v>0</v>
      </c>
      <c r="AJ120">
        <f t="shared" si="59"/>
        <v>0</v>
      </c>
      <c r="AK120">
        <f t="shared" si="60"/>
        <v>0</v>
      </c>
      <c r="AL120">
        <f t="shared" si="46"/>
        <v>0</v>
      </c>
    </row>
    <row r="121" spans="23:38" x14ac:dyDescent="0.25">
      <c r="W121">
        <f t="shared" si="31"/>
        <v>0</v>
      </c>
      <c r="X121">
        <f t="shared" si="47"/>
        <v>0</v>
      </c>
      <c r="Y121">
        <f t="shared" si="48"/>
        <v>0</v>
      </c>
      <c r="Z121">
        <f t="shared" si="49"/>
        <v>0</v>
      </c>
      <c r="AA121">
        <f t="shared" si="50"/>
        <v>0</v>
      </c>
      <c r="AB121">
        <f t="shared" si="51"/>
        <v>0</v>
      </c>
      <c r="AC121">
        <f t="shared" si="52"/>
        <v>0</v>
      </c>
      <c r="AD121">
        <f t="shared" si="53"/>
        <v>0</v>
      </c>
      <c r="AE121">
        <f t="shared" si="54"/>
        <v>0</v>
      </c>
      <c r="AF121">
        <f t="shared" si="55"/>
        <v>0</v>
      </c>
      <c r="AG121">
        <f t="shared" si="56"/>
        <v>0</v>
      </c>
      <c r="AH121">
        <f t="shared" si="57"/>
        <v>0</v>
      </c>
      <c r="AI121">
        <f t="shared" si="58"/>
        <v>0</v>
      </c>
      <c r="AJ121">
        <f t="shared" si="59"/>
        <v>0</v>
      </c>
      <c r="AK121">
        <f t="shared" si="60"/>
        <v>0</v>
      </c>
      <c r="AL121">
        <f t="shared" si="46"/>
        <v>0</v>
      </c>
    </row>
    <row r="122" spans="23:38" x14ac:dyDescent="0.25">
      <c r="W122">
        <f t="shared" si="31"/>
        <v>0</v>
      </c>
      <c r="X122">
        <f t="shared" si="47"/>
        <v>0</v>
      </c>
      <c r="Y122">
        <f t="shared" si="48"/>
        <v>0</v>
      </c>
      <c r="Z122">
        <f t="shared" si="49"/>
        <v>0</v>
      </c>
      <c r="AA122">
        <f t="shared" si="50"/>
        <v>0</v>
      </c>
      <c r="AB122">
        <f t="shared" si="51"/>
        <v>0</v>
      </c>
      <c r="AC122">
        <f t="shared" si="52"/>
        <v>0</v>
      </c>
      <c r="AD122">
        <f t="shared" si="53"/>
        <v>0</v>
      </c>
      <c r="AE122">
        <f t="shared" si="54"/>
        <v>0</v>
      </c>
      <c r="AF122">
        <f t="shared" si="55"/>
        <v>0</v>
      </c>
      <c r="AG122">
        <f t="shared" si="56"/>
        <v>0</v>
      </c>
      <c r="AH122">
        <f t="shared" si="57"/>
        <v>0</v>
      </c>
      <c r="AI122">
        <f t="shared" si="58"/>
        <v>0</v>
      </c>
      <c r="AJ122">
        <f t="shared" si="59"/>
        <v>0</v>
      </c>
      <c r="AK122">
        <f t="shared" si="60"/>
        <v>0</v>
      </c>
      <c r="AL122">
        <f t="shared" si="46"/>
        <v>0</v>
      </c>
    </row>
    <row r="123" spans="23:38" x14ac:dyDescent="0.25">
      <c r="W123">
        <f t="shared" si="31"/>
        <v>0</v>
      </c>
      <c r="X123">
        <f t="shared" si="47"/>
        <v>0</v>
      </c>
      <c r="Y123">
        <f t="shared" si="48"/>
        <v>0</v>
      </c>
      <c r="Z123">
        <f t="shared" si="49"/>
        <v>0</v>
      </c>
      <c r="AA123">
        <f t="shared" si="50"/>
        <v>0</v>
      </c>
      <c r="AB123">
        <f t="shared" si="51"/>
        <v>0</v>
      </c>
      <c r="AC123">
        <f t="shared" si="52"/>
        <v>0</v>
      </c>
      <c r="AD123">
        <f t="shared" si="53"/>
        <v>0</v>
      </c>
      <c r="AE123">
        <f t="shared" si="54"/>
        <v>0</v>
      </c>
      <c r="AF123">
        <f t="shared" si="55"/>
        <v>0</v>
      </c>
      <c r="AG123">
        <f t="shared" si="56"/>
        <v>0</v>
      </c>
      <c r="AH123">
        <f t="shared" si="57"/>
        <v>0</v>
      </c>
      <c r="AI123">
        <f t="shared" si="58"/>
        <v>0</v>
      </c>
      <c r="AJ123">
        <f t="shared" si="59"/>
        <v>0</v>
      </c>
      <c r="AK123">
        <f t="shared" si="60"/>
        <v>0</v>
      </c>
      <c r="AL123">
        <f t="shared" si="46"/>
        <v>0</v>
      </c>
    </row>
    <row r="124" spans="23:38" x14ac:dyDescent="0.25">
      <c r="W124">
        <f t="shared" si="31"/>
        <v>0</v>
      </c>
      <c r="X124">
        <f t="shared" si="47"/>
        <v>0</v>
      </c>
      <c r="Y124">
        <f t="shared" si="48"/>
        <v>0</v>
      </c>
      <c r="Z124">
        <f t="shared" si="49"/>
        <v>0</v>
      </c>
      <c r="AA124">
        <f t="shared" si="50"/>
        <v>0</v>
      </c>
      <c r="AB124">
        <f t="shared" si="51"/>
        <v>0</v>
      </c>
      <c r="AC124">
        <f t="shared" si="52"/>
        <v>0</v>
      </c>
      <c r="AD124">
        <f t="shared" si="53"/>
        <v>0</v>
      </c>
      <c r="AE124">
        <f t="shared" si="54"/>
        <v>0</v>
      </c>
      <c r="AF124">
        <f t="shared" si="55"/>
        <v>0</v>
      </c>
      <c r="AG124">
        <f t="shared" si="56"/>
        <v>0</v>
      </c>
      <c r="AH124">
        <f t="shared" si="57"/>
        <v>0</v>
      </c>
      <c r="AI124">
        <f t="shared" si="58"/>
        <v>0</v>
      </c>
      <c r="AJ124">
        <f t="shared" si="59"/>
        <v>0</v>
      </c>
      <c r="AK124">
        <f t="shared" si="60"/>
        <v>0</v>
      </c>
      <c r="AL124">
        <f t="shared" si="46"/>
        <v>0</v>
      </c>
    </row>
    <row r="125" spans="23:38" x14ac:dyDescent="0.25">
      <c r="W125">
        <f t="shared" si="31"/>
        <v>0</v>
      </c>
      <c r="X125">
        <f t="shared" si="47"/>
        <v>0</v>
      </c>
      <c r="Y125">
        <f t="shared" si="48"/>
        <v>0</v>
      </c>
      <c r="Z125">
        <f t="shared" si="49"/>
        <v>0</v>
      </c>
      <c r="AA125">
        <f t="shared" si="50"/>
        <v>0</v>
      </c>
      <c r="AB125">
        <f t="shared" si="51"/>
        <v>0</v>
      </c>
      <c r="AC125">
        <f t="shared" si="52"/>
        <v>0</v>
      </c>
      <c r="AD125">
        <f t="shared" si="53"/>
        <v>0</v>
      </c>
      <c r="AE125">
        <f t="shared" si="54"/>
        <v>0</v>
      </c>
      <c r="AF125">
        <f t="shared" si="55"/>
        <v>0</v>
      </c>
      <c r="AG125">
        <f t="shared" si="56"/>
        <v>0</v>
      </c>
      <c r="AH125">
        <f t="shared" si="57"/>
        <v>0</v>
      </c>
      <c r="AI125">
        <f t="shared" si="58"/>
        <v>0</v>
      </c>
      <c r="AJ125">
        <f t="shared" si="59"/>
        <v>0</v>
      </c>
      <c r="AK125">
        <f t="shared" si="60"/>
        <v>0</v>
      </c>
      <c r="AL125">
        <f t="shared" si="46"/>
        <v>0</v>
      </c>
    </row>
    <row r="126" spans="23:38" x14ac:dyDescent="0.25">
      <c r="W126">
        <f t="shared" si="31"/>
        <v>0</v>
      </c>
      <c r="X126">
        <f t="shared" si="47"/>
        <v>0</v>
      </c>
      <c r="Y126">
        <f t="shared" si="48"/>
        <v>0</v>
      </c>
      <c r="Z126">
        <f t="shared" si="49"/>
        <v>0</v>
      </c>
      <c r="AA126">
        <f t="shared" si="50"/>
        <v>0</v>
      </c>
      <c r="AB126">
        <f t="shared" si="51"/>
        <v>0</v>
      </c>
      <c r="AC126">
        <f t="shared" si="52"/>
        <v>0</v>
      </c>
      <c r="AD126">
        <f t="shared" si="53"/>
        <v>0</v>
      </c>
      <c r="AE126">
        <f t="shared" si="54"/>
        <v>0</v>
      </c>
      <c r="AF126">
        <f t="shared" si="55"/>
        <v>0</v>
      </c>
      <c r="AG126">
        <f t="shared" si="56"/>
        <v>0</v>
      </c>
      <c r="AH126">
        <f t="shared" si="57"/>
        <v>0</v>
      </c>
      <c r="AI126">
        <f t="shared" si="58"/>
        <v>0</v>
      </c>
      <c r="AJ126">
        <f t="shared" si="59"/>
        <v>0</v>
      </c>
      <c r="AK126">
        <f t="shared" si="60"/>
        <v>0</v>
      </c>
      <c r="AL126">
        <f t="shared" si="46"/>
        <v>0</v>
      </c>
    </row>
    <row r="127" spans="23:38" x14ac:dyDescent="0.25">
      <c r="W127">
        <f t="shared" si="31"/>
        <v>0</v>
      </c>
      <c r="X127">
        <f t="shared" si="47"/>
        <v>0</v>
      </c>
      <c r="Y127">
        <f t="shared" si="48"/>
        <v>0</v>
      </c>
      <c r="Z127">
        <f t="shared" si="49"/>
        <v>0</v>
      </c>
      <c r="AA127">
        <f t="shared" si="50"/>
        <v>0</v>
      </c>
      <c r="AB127">
        <f t="shared" si="51"/>
        <v>0</v>
      </c>
      <c r="AC127">
        <f t="shared" si="52"/>
        <v>0</v>
      </c>
      <c r="AD127">
        <f t="shared" si="53"/>
        <v>0</v>
      </c>
      <c r="AE127">
        <f t="shared" si="54"/>
        <v>0</v>
      </c>
      <c r="AF127">
        <f t="shared" si="55"/>
        <v>0</v>
      </c>
      <c r="AG127">
        <f t="shared" si="56"/>
        <v>0</v>
      </c>
      <c r="AH127">
        <f t="shared" si="57"/>
        <v>0</v>
      </c>
      <c r="AI127">
        <f t="shared" si="58"/>
        <v>0</v>
      </c>
      <c r="AJ127">
        <f t="shared" si="59"/>
        <v>0</v>
      </c>
      <c r="AK127">
        <f t="shared" si="60"/>
        <v>0</v>
      </c>
      <c r="AL127">
        <f t="shared" si="46"/>
        <v>0</v>
      </c>
    </row>
    <row r="128" spans="23:38" x14ac:dyDescent="0.25">
      <c r="W128">
        <f t="shared" si="31"/>
        <v>0</v>
      </c>
      <c r="X128">
        <f t="shared" si="47"/>
        <v>0</v>
      </c>
      <c r="Y128">
        <f t="shared" si="48"/>
        <v>0</v>
      </c>
      <c r="Z128">
        <f t="shared" si="49"/>
        <v>0</v>
      </c>
      <c r="AA128">
        <f t="shared" si="50"/>
        <v>0</v>
      </c>
      <c r="AB128">
        <f t="shared" si="51"/>
        <v>0</v>
      </c>
      <c r="AC128">
        <f t="shared" si="52"/>
        <v>0</v>
      </c>
      <c r="AD128">
        <f t="shared" si="53"/>
        <v>0</v>
      </c>
      <c r="AE128">
        <f t="shared" si="54"/>
        <v>0</v>
      </c>
      <c r="AF128">
        <f t="shared" si="55"/>
        <v>0</v>
      </c>
      <c r="AG128">
        <f t="shared" si="56"/>
        <v>0</v>
      </c>
      <c r="AH128">
        <f t="shared" si="57"/>
        <v>0</v>
      </c>
      <c r="AI128">
        <f t="shared" si="58"/>
        <v>0</v>
      </c>
      <c r="AJ128">
        <f t="shared" si="59"/>
        <v>0</v>
      </c>
      <c r="AK128">
        <f t="shared" si="60"/>
        <v>0</v>
      </c>
      <c r="AL128">
        <f t="shared" si="46"/>
        <v>0</v>
      </c>
    </row>
    <row r="129" spans="23:38" x14ac:dyDescent="0.25">
      <c r="W129">
        <f t="shared" si="31"/>
        <v>0</v>
      </c>
      <c r="X129">
        <f t="shared" si="47"/>
        <v>0</v>
      </c>
      <c r="Y129">
        <f t="shared" si="48"/>
        <v>0</v>
      </c>
      <c r="Z129">
        <f t="shared" si="49"/>
        <v>0</v>
      </c>
      <c r="AA129">
        <f t="shared" si="50"/>
        <v>0</v>
      </c>
      <c r="AB129">
        <f t="shared" si="51"/>
        <v>0</v>
      </c>
      <c r="AC129">
        <f t="shared" si="52"/>
        <v>0</v>
      </c>
      <c r="AD129">
        <f t="shared" si="53"/>
        <v>0</v>
      </c>
      <c r="AE129">
        <f t="shared" si="54"/>
        <v>0</v>
      </c>
      <c r="AF129">
        <f t="shared" si="55"/>
        <v>0</v>
      </c>
      <c r="AG129">
        <f t="shared" si="56"/>
        <v>0</v>
      </c>
      <c r="AH129">
        <f t="shared" si="57"/>
        <v>0</v>
      </c>
      <c r="AI129">
        <f t="shared" si="58"/>
        <v>0</v>
      </c>
      <c r="AJ129">
        <f t="shared" si="59"/>
        <v>0</v>
      </c>
      <c r="AK129">
        <f t="shared" si="60"/>
        <v>0</v>
      </c>
      <c r="AL129">
        <f t="shared" si="46"/>
        <v>0</v>
      </c>
    </row>
    <row r="130" spans="23:38" x14ac:dyDescent="0.25">
      <c r="W130">
        <f t="shared" si="31"/>
        <v>0</v>
      </c>
      <c r="X130">
        <f t="shared" si="47"/>
        <v>0</v>
      </c>
      <c r="Y130">
        <f t="shared" si="48"/>
        <v>0</v>
      </c>
      <c r="Z130">
        <f t="shared" si="49"/>
        <v>0</v>
      </c>
      <c r="AA130">
        <f t="shared" si="50"/>
        <v>0</v>
      </c>
      <c r="AB130">
        <f t="shared" si="51"/>
        <v>0</v>
      </c>
      <c r="AC130">
        <f t="shared" si="52"/>
        <v>0</v>
      </c>
      <c r="AD130">
        <f t="shared" si="53"/>
        <v>0</v>
      </c>
      <c r="AE130">
        <f t="shared" si="54"/>
        <v>0</v>
      </c>
      <c r="AF130">
        <f t="shared" si="55"/>
        <v>0</v>
      </c>
      <c r="AG130">
        <f t="shared" si="56"/>
        <v>0</v>
      </c>
      <c r="AH130">
        <f t="shared" si="57"/>
        <v>0</v>
      </c>
      <c r="AI130">
        <f t="shared" si="58"/>
        <v>0</v>
      </c>
      <c r="AJ130">
        <f t="shared" si="59"/>
        <v>0</v>
      </c>
      <c r="AK130">
        <f t="shared" si="60"/>
        <v>0</v>
      </c>
      <c r="AL130">
        <f t="shared" si="46"/>
        <v>0</v>
      </c>
    </row>
    <row r="131" spans="23:38" x14ac:dyDescent="0.25">
      <c r="W131">
        <f t="shared" si="31"/>
        <v>0</v>
      </c>
      <c r="X131">
        <f t="shared" si="47"/>
        <v>0</v>
      </c>
      <c r="Y131">
        <f t="shared" si="48"/>
        <v>0</v>
      </c>
      <c r="Z131">
        <f t="shared" si="49"/>
        <v>0</v>
      </c>
      <c r="AA131">
        <f t="shared" si="50"/>
        <v>0</v>
      </c>
      <c r="AB131">
        <f t="shared" si="51"/>
        <v>0</v>
      </c>
      <c r="AC131">
        <f t="shared" si="52"/>
        <v>0</v>
      </c>
      <c r="AD131">
        <f t="shared" si="53"/>
        <v>0</v>
      </c>
      <c r="AE131">
        <f t="shared" si="54"/>
        <v>0</v>
      </c>
      <c r="AF131">
        <f t="shared" si="55"/>
        <v>0</v>
      </c>
      <c r="AG131">
        <f t="shared" si="56"/>
        <v>0</v>
      </c>
      <c r="AH131">
        <f t="shared" si="57"/>
        <v>0</v>
      </c>
      <c r="AI131">
        <f t="shared" si="58"/>
        <v>0</v>
      </c>
      <c r="AJ131">
        <f t="shared" si="59"/>
        <v>0</v>
      </c>
      <c r="AK131">
        <f t="shared" si="60"/>
        <v>0</v>
      </c>
      <c r="AL131">
        <f t="shared" si="46"/>
        <v>0</v>
      </c>
    </row>
    <row r="132" spans="23:38" x14ac:dyDescent="0.25">
      <c r="W132">
        <f t="shared" si="31"/>
        <v>0</v>
      </c>
      <c r="X132">
        <f t="shared" si="47"/>
        <v>0</v>
      </c>
      <c r="Y132">
        <f t="shared" si="48"/>
        <v>0</v>
      </c>
      <c r="Z132">
        <f t="shared" si="49"/>
        <v>0</v>
      </c>
      <c r="AA132">
        <f t="shared" si="50"/>
        <v>0</v>
      </c>
      <c r="AB132">
        <f t="shared" si="51"/>
        <v>0</v>
      </c>
      <c r="AC132">
        <f t="shared" si="52"/>
        <v>0</v>
      </c>
      <c r="AD132">
        <f t="shared" si="53"/>
        <v>0</v>
      </c>
      <c r="AE132">
        <f t="shared" si="54"/>
        <v>0</v>
      </c>
      <c r="AF132">
        <f t="shared" si="55"/>
        <v>0</v>
      </c>
      <c r="AG132">
        <f t="shared" si="56"/>
        <v>0</v>
      </c>
      <c r="AH132">
        <f t="shared" si="57"/>
        <v>0</v>
      </c>
      <c r="AI132">
        <f t="shared" si="58"/>
        <v>0</v>
      </c>
      <c r="AJ132">
        <f t="shared" si="59"/>
        <v>0</v>
      </c>
      <c r="AK132">
        <f t="shared" si="60"/>
        <v>0</v>
      </c>
      <c r="AL132">
        <f t="shared" si="46"/>
        <v>0</v>
      </c>
    </row>
    <row r="133" spans="23:38" x14ac:dyDescent="0.25">
      <c r="W133">
        <f t="shared" ref="W133:W168" si="61">A133</f>
        <v>0</v>
      </c>
      <c r="X133">
        <f t="shared" ref="X133:X167" si="62">_xlfn.IFNA(LOOKUP(B133,$T$6:$T$25,$U$6:$U$25),0)+COUNTIF(B$1:B$3,$W133)</f>
        <v>0</v>
      </c>
      <c r="Y133">
        <f t="shared" ref="Y133:Y167" si="63">_xlfn.IFNA(LOOKUP(C133,$T$6:$T$25,$U$6:$U$25),0)+COUNTIF(C$1:C$3,$W133)</f>
        <v>0</v>
      </c>
      <c r="Z133">
        <f t="shared" ref="Z133:Z167" si="64">_xlfn.IFNA(LOOKUP(D133,$T$6:$T$25,$U$6:$U$25),0)+COUNTIF(D$1:D$3,$W133)</f>
        <v>0</v>
      </c>
      <c r="AA133">
        <f t="shared" ref="AA133:AA167" si="65">_xlfn.IFNA(LOOKUP(E133,$T$6:$T$25,$U$6:$U$25),0)+COUNTIF(E$1:E$3,$W133)</f>
        <v>0</v>
      </c>
      <c r="AB133">
        <f t="shared" ref="AB133:AB167" si="66">_xlfn.IFNA(LOOKUP(F133,$T$6:$T$25,$U$6:$U$25),0)+COUNTIF(F$1:F$3,$W133)</f>
        <v>0</v>
      </c>
      <c r="AC133">
        <f t="shared" ref="AC133:AC167" si="67">_xlfn.IFNA(LOOKUP(G133,$T$6:$T$25,$U$6:$U$25),0)+COUNTIF(G$1:G$3,$W133)</f>
        <v>0</v>
      </c>
      <c r="AD133">
        <f t="shared" ref="AD133:AD167" si="68">_xlfn.IFNA(LOOKUP(H133,$T$6:$T$25,$U$6:$U$25),0)+COUNTIF(H$1:H$3,$W133)</f>
        <v>0</v>
      </c>
      <c r="AE133">
        <f t="shared" ref="AE133:AE167" si="69">_xlfn.IFNA(LOOKUP(I133,$T$6:$T$25,$U$6:$U$25),0)+COUNTIF(I$1:I$3,$W133)</f>
        <v>0</v>
      </c>
      <c r="AF133">
        <f t="shared" ref="AF133:AF167" si="70">_xlfn.IFNA(LOOKUP(J133,$T$6:$T$25,$U$6:$U$25),0)+COUNTIF(J$1:J$3,$W133)</f>
        <v>0</v>
      </c>
      <c r="AG133">
        <f t="shared" ref="AG133:AG167" si="71">_xlfn.IFNA(LOOKUP(K133,$T$6:$T$25,$U$6:$U$25),0)+COUNTIF(K$1:K$3,$W133)</f>
        <v>0</v>
      </c>
      <c r="AH133">
        <f t="shared" ref="AH133:AH167" si="72">_xlfn.IFNA(LOOKUP(L133,$T$6:$T$25,$U$6:$U$25),0)+COUNTIF(L$1:L$3,$W133)</f>
        <v>0</v>
      </c>
      <c r="AI133">
        <f t="shared" ref="AI133:AI167" si="73">_xlfn.IFNA(LOOKUP(M133,$T$6:$T$25,$U$6:$U$25),0)+COUNTIF(M$1:M$3,$W133)</f>
        <v>0</v>
      </c>
      <c r="AJ133">
        <f t="shared" ref="AJ133:AJ167" si="74">_xlfn.IFNA(LOOKUP(N133,$T$6:$T$25,$U$6:$U$25),0)+COUNTIF(N$1:N$3,$W133)</f>
        <v>0</v>
      </c>
      <c r="AK133">
        <f t="shared" ref="AK133:AK167" si="75">_xlfn.IFNA(LOOKUP(O133,$T$6:$T$25,$U$6:$U$25),0)+COUNTIF(O$1:O$3,$W133)</f>
        <v>0</v>
      </c>
      <c r="AL133">
        <f t="shared" ref="AL133:AL169" si="76">SUM(X133:AK133)</f>
        <v>0</v>
      </c>
    </row>
    <row r="134" spans="23:38" x14ac:dyDescent="0.25">
      <c r="W134">
        <f t="shared" si="61"/>
        <v>0</v>
      </c>
      <c r="X134">
        <f t="shared" si="62"/>
        <v>0</v>
      </c>
      <c r="Y134">
        <f t="shared" si="63"/>
        <v>0</v>
      </c>
      <c r="Z134">
        <f t="shared" si="64"/>
        <v>0</v>
      </c>
      <c r="AA134">
        <f t="shared" si="65"/>
        <v>0</v>
      </c>
      <c r="AB134">
        <f t="shared" si="66"/>
        <v>0</v>
      </c>
      <c r="AC134">
        <f t="shared" si="67"/>
        <v>0</v>
      </c>
      <c r="AD134">
        <f t="shared" si="68"/>
        <v>0</v>
      </c>
      <c r="AE134">
        <f t="shared" si="69"/>
        <v>0</v>
      </c>
      <c r="AF134">
        <f t="shared" si="70"/>
        <v>0</v>
      </c>
      <c r="AG134">
        <f t="shared" si="71"/>
        <v>0</v>
      </c>
      <c r="AH134">
        <f t="shared" si="72"/>
        <v>0</v>
      </c>
      <c r="AI134">
        <f t="shared" si="73"/>
        <v>0</v>
      </c>
      <c r="AJ134">
        <f t="shared" si="74"/>
        <v>0</v>
      </c>
      <c r="AK134">
        <f t="shared" si="75"/>
        <v>0</v>
      </c>
      <c r="AL134">
        <f t="shared" si="76"/>
        <v>0</v>
      </c>
    </row>
    <row r="135" spans="23:38" x14ac:dyDescent="0.25">
      <c r="W135">
        <f t="shared" si="61"/>
        <v>0</v>
      </c>
      <c r="X135">
        <f t="shared" si="62"/>
        <v>0</v>
      </c>
      <c r="Y135">
        <f t="shared" si="63"/>
        <v>0</v>
      </c>
      <c r="Z135">
        <f t="shared" si="64"/>
        <v>0</v>
      </c>
      <c r="AA135">
        <f t="shared" si="65"/>
        <v>0</v>
      </c>
      <c r="AB135">
        <f t="shared" si="66"/>
        <v>0</v>
      </c>
      <c r="AC135">
        <f t="shared" si="67"/>
        <v>0</v>
      </c>
      <c r="AD135">
        <f t="shared" si="68"/>
        <v>0</v>
      </c>
      <c r="AE135">
        <f t="shared" si="69"/>
        <v>0</v>
      </c>
      <c r="AF135">
        <f t="shared" si="70"/>
        <v>0</v>
      </c>
      <c r="AG135">
        <f t="shared" si="71"/>
        <v>0</v>
      </c>
      <c r="AH135">
        <f t="shared" si="72"/>
        <v>0</v>
      </c>
      <c r="AI135">
        <f t="shared" si="73"/>
        <v>0</v>
      </c>
      <c r="AJ135">
        <f t="shared" si="74"/>
        <v>0</v>
      </c>
      <c r="AK135">
        <f t="shared" si="75"/>
        <v>0</v>
      </c>
      <c r="AL135">
        <f t="shared" si="76"/>
        <v>0</v>
      </c>
    </row>
    <row r="136" spans="23:38" x14ac:dyDescent="0.25">
      <c r="W136">
        <f t="shared" si="61"/>
        <v>0</v>
      </c>
      <c r="X136">
        <f t="shared" si="62"/>
        <v>0</v>
      </c>
      <c r="Y136">
        <f t="shared" si="63"/>
        <v>0</v>
      </c>
      <c r="Z136">
        <f t="shared" si="64"/>
        <v>0</v>
      </c>
      <c r="AA136">
        <f t="shared" si="65"/>
        <v>0</v>
      </c>
      <c r="AB136">
        <f t="shared" si="66"/>
        <v>0</v>
      </c>
      <c r="AC136">
        <f t="shared" si="67"/>
        <v>0</v>
      </c>
      <c r="AD136">
        <f t="shared" si="68"/>
        <v>0</v>
      </c>
      <c r="AE136">
        <f t="shared" si="69"/>
        <v>0</v>
      </c>
      <c r="AF136">
        <f t="shared" si="70"/>
        <v>0</v>
      </c>
      <c r="AG136">
        <f t="shared" si="71"/>
        <v>0</v>
      </c>
      <c r="AH136">
        <f t="shared" si="72"/>
        <v>0</v>
      </c>
      <c r="AI136">
        <f t="shared" si="73"/>
        <v>0</v>
      </c>
      <c r="AJ136">
        <f t="shared" si="74"/>
        <v>0</v>
      </c>
      <c r="AK136">
        <f t="shared" si="75"/>
        <v>0</v>
      </c>
      <c r="AL136">
        <f t="shared" si="76"/>
        <v>0</v>
      </c>
    </row>
    <row r="137" spans="23:38" x14ac:dyDescent="0.25">
      <c r="W137">
        <f t="shared" si="61"/>
        <v>0</v>
      </c>
      <c r="X137">
        <f t="shared" si="62"/>
        <v>0</v>
      </c>
      <c r="Y137">
        <f t="shared" si="63"/>
        <v>0</v>
      </c>
      <c r="Z137">
        <f t="shared" si="64"/>
        <v>0</v>
      </c>
      <c r="AA137">
        <f t="shared" si="65"/>
        <v>0</v>
      </c>
      <c r="AB137">
        <f t="shared" si="66"/>
        <v>0</v>
      </c>
      <c r="AC137">
        <f t="shared" si="67"/>
        <v>0</v>
      </c>
      <c r="AD137">
        <f t="shared" si="68"/>
        <v>0</v>
      </c>
      <c r="AE137">
        <f t="shared" si="69"/>
        <v>0</v>
      </c>
      <c r="AF137">
        <f t="shared" si="70"/>
        <v>0</v>
      </c>
      <c r="AG137">
        <f t="shared" si="71"/>
        <v>0</v>
      </c>
      <c r="AH137">
        <f t="shared" si="72"/>
        <v>0</v>
      </c>
      <c r="AI137">
        <f t="shared" si="73"/>
        <v>0</v>
      </c>
      <c r="AJ137">
        <f t="shared" si="74"/>
        <v>0</v>
      </c>
      <c r="AK137">
        <f t="shared" si="75"/>
        <v>0</v>
      </c>
      <c r="AL137">
        <f t="shared" si="76"/>
        <v>0</v>
      </c>
    </row>
    <row r="138" spans="23:38" x14ac:dyDescent="0.25">
      <c r="W138">
        <f t="shared" si="61"/>
        <v>0</v>
      </c>
      <c r="X138">
        <f t="shared" si="62"/>
        <v>0</v>
      </c>
      <c r="Y138">
        <f t="shared" si="63"/>
        <v>0</v>
      </c>
      <c r="Z138">
        <f t="shared" si="64"/>
        <v>0</v>
      </c>
      <c r="AA138">
        <f t="shared" si="65"/>
        <v>0</v>
      </c>
      <c r="AB138">
        <f t="shared" si="66"/>
        <v>0</v>
      </c>
      <c r="AC138">
        <f t="shared" si="67"/>
        <v>0</v>
      </c>
      <c r="AD138">
        <f t="shared" si="68"/>
        <v>0</v>
      </c>
      <c r="AE138">
        <f t="shared" si="69"/>
        <v>0</v>
      </c>
      <c r="AF138">
        <f t="shared" si="70"/>
        <v>0</v>
      </c>
      <c r="AG138">
        <f t="shared" si="71"/>
        <v>0</v>
      </c>
      <c r="AH138">
        <f t="shared" si="72"/>
        <v>0</v>
      </c>
      <c r="AI138">
        <f t="shared" si="73"/>
        <v>0</v>
      </c>
      <c r="AJ138">
        <f t="shared" si="74"/>
        <v>0</v>
      </c>
      <c r="AK138">
        <f t="shared" si="75"/>
        <v>0</v>
      </c>
      <c r="AL138">
        <f t="shared" si="76"/>
        <v>0</v>
      </c>
    </row>
    <row r="139" spans="23:38" x14ac:dyDescent="0.25">
      <c r="W139">
        <f t="shared" si="61"/>
        <v>0</v>
      </c>
      <c r="X139">
        <f t="shared" si="62"/>
        <v>0</v>
      </c>
      <c r="Y139">
        <f t="shared" si="63"/>
        <v>0</v>
      </c>
      <c r="Z139">
        <f t="shared" si="64"/>
        <v>0</v>
      </c>
      <c r="AA139">
        <f t="shared" si="65"/>
        <v>0</v>
      </c>
      <c r="AB139">
        <f t="shared" si="66"/>
        <v>0</v>
      </c>
      <c r="AC139">
        <f t="shared" si="67"/>
        <v>0</v>
      </c>
      <c r="AD139">
        <f t="shared" si="68"/>
        <v>0</v>
      </c>
      <c r="AE139">
        <f t="shared" si="69"/>
        <v>0</v>
      </c>
      <c r="AF139">
        <f t="shared" si="70"/>
        <v>0</v>
      </c>
      <c r="AG139">
        <f t="shared" si="71"/>
        <v>0</v>
      </c>
      <c r="AH139">
        <f t="shared" si="72"/>
        <v>0</v>
      </c>
      <c r="AI139">
        <f t="shared" si="73"/>
        <v>0</v>
      </c>
      <c r="AJ139">
        <f t="shared" si="74"/>
        <v>0</v>
      </c>
      <c r="AK139">
        <f t="shared" si="75"/>
        <v>0</v>
      </c>
      <c r="AL139">
        <f t="shared" si="76"/>
        <v>0</v>
      </c>
    </row>
    <row r="140" spans="23:38" x14ac:dyDescent="0.25">
      <c r="W140">
        <f t="shared" si="61"/>
        <v>0</v>
      </c>
      <c r="X140">
        <f t="shared" si="62"/>
        <v>0</v>
      </c>
      <c r="Y140">
        <f t="shared" si="63"/>
        <v>0</v>
      </c>
      <c r="Z140">
        <f t="shared" si="64"/>
        <v>0</v>
      </c>
      <c r="AA140">
        <f t="shared" si="65"/>
        <v>0</v>
      </c>
      <c r="AB140">
        <f t="shared" si="66"/>
        <v>0</v>
      </c>
      <c r="AC140">
        <f t="shared" si="67"/>
        <v>0</v>
      </c>
      <c r="AD140">
        <f t="shared" si="68"/>
        <v>0</v>
      </c>
      <c r="AE140">
        <f t="shared" si="69"/>
        <v>0</v>
      </c>
      <c r="AF140">
        <f t="shared" si="70"/>
        <v>0</v>
      </c>
      <c r="AG140">
        <f t="shared" si="71"/>
        <v>0</v>
      </c>
      <c r="AH140">
        <f t="shared" si="72"/>
        <v>0</v>
      </c>
      <c r="AI140">
        <f t="shared" si="73"/>
        <v>0</v>
      </c>
      <c r="AJ140">
        <f t="shared" si="74"/>
        <v>0</v>
      </c>
      <c r="AK140">
        <f t="shared" si="75"/>
        <v>0</v>
      </c>
      <c r="AL140">
        <f t="shared" si="76"/>
        <v>0</v>
      </c>
    </row>
    <row r="141" spans="23:38" x14ac:dyDescent="0.25">
      <c r="W141">
        <f t="shared" si="61"/>
        <v>0</v>
      </c>
      <c r="X141">
        <f t="shared" si="62"/>
        <v>0</v>
      </c>
      <c r="Y141">
        <f t="shared" si="63"/>
        <v>0</v>
      </c>
      <c r="Z141">
        <f t="shared" si="64"/>
        <v>0</v>
      </c>
      <c r="AA141">
        <f t="shared" si="65"/>
        <v>0</v>
      </c>
      <c r="AB141">
        <f t="shared" si="66"/>
        <v>0</v>
      </c>
      <c r="AC141">
        <f t="shared" si="67"/>
        <v>0</v>
      </c>
      <c r="AD141">
        <f t="shared" si="68"/>
        <v>0</v>
      </c>
      <c r="AE141">
        <f t="shared" si="69"/>
        <v>0</v>
      </c>
      <c r="AF141">
        <f t="shared" si="70"/>
        <v>0</v>
      </c>
      <c r="AG141">
        <f t="shared" si="71"/>
        <v>0</v>
      </c>
      <c r="AH141">
        <f t="shared" si="72"/>
        <v>0</v>
      </c>
      <c r="AI141">
        <f t="shared" si="73"/>
        <v>0</v>
      </c>
      <c r="AJ141">
        <f t="shared" si="74"/>
        <v>0</v>
      </c>
      <c r="AK141">
        <f t="shared" si="75"/>
        <v>0</v>
      </c>
      <c r="AL141">
        <f t="shared" si="76"/>
        <v>0</v>
      </c>
    </row>
    <row r="142" spans="23:38" x14ac:dyDescent="0.25">
      <c r="W142">
        <f t="shared" si="61"/>
        <v>0</v>
      </c>
      <c r="X142">
        <f t="shared" si="62"/>
        <v>0</v>
      </c>
      <c r="Y142">
        <f t="shared" si="63"/>
        <v>0</v>
      </c>
      <c r="Z142">
        <f t="shared" si="64"/>
        <v>0</v>
      </c>
      <c r="AA142">
        <f t="shared" si="65"/>
        <v>0</v>
      </c>
      <c r="AB142">
        <f t="shared" si="66"/>
        <v>0</v>
      </c>
      <c r="AC142">
        <f t="shared" si="67"/>
        <v>0</v>
      </c>
      <c r="AD142">
        <f t="shared" si="68"/>
        <v>0</v>
      </c>
      <c r="AE142">
        <f t="shared" si="69"/>
        <v>0</v>
      </c>
      <c r="AF142">
        <f t="shared" si="70"/>
        <v>0</v>
      </c>
      <c r="AG142">
        <f t="shared" si="71"/>
        <v>0</v>
      </c>
      <c r="AH142">
        <f t="shared" si="72"/>
        <v>0</v>
      </c>
      <c r="AI142">
        <f t="shared" si="73"/>
        <v>0</v>
      </c>
      <c r="AJ142">
        <f t="shared" si="74"/>
        <v>0</v>
      </c>
      <c r="AK142">
        <f t="shared" si="75"/>
        <v>0</v>
      </c>
      <c r="AL142">
        <f t="shared" si="76"/>
        <v>0</v>
      </c>
    </row>
    <row r="143" spans="23:38" x14ac:dyDescent="0.25">
      <c r="W143">
        <f t="shared" si="61"/>
        <v>0</v>
      </c>
      <c r="X143">
        <f t="shared" si="62"/>
        <v>0</v>
      </c>
      <c r="Y143">
        <f t="shared" si="63"/>
        <v>0</v>
      </c>
      <c r="Z143">
        <f t="shared" si="64"/>
        <v>0</v>
      </c>
      <c r="AA143">
        <f t="shared" si="65"/>
        <v>0</v>
      </c>
      <c r="AB143">
        <f t="shared" si="66"/>
        <v>0</v>
      </c>
      <c r="AC143">
        <f t="shared" si="67"/>
        <v>0</v>
      </c>
      <c r="AD143">
        <f t="shared" si="68"/>
        <v>0</v>
      </c>
      <c r="AE143">
        <f t="shared" si="69"/>
        <v>0</v>
      </c>
      <c r="AF143">
        <f t="shared" si="70"/>
        <v>0</v>
      </c>
      <c r="AG143">
        <f t="shared" si="71"/>
        <v>0</v>
      </c>
      <c r="AH143">
        <f t="shared" si="72"/>
        <v>0</v>
      </c>
      <c r="AI143">
        <f t="shared" si="73"/>
        <v>0</v>
      </c>
      <c r="AJ143">
        <f t="shared" si="74"/>
        <v>0</v>
      </c>
      <c r="AK143">
        <f t="shared" si="75"/>
        <v>0</v>
      </c>
      <c r="AL143">
        <f t="shared" si="76"/>
        <v>0</v>
      </c>
    </row>
    <row r="144" spans="23:38" x14ac:dyDescent="0.25">
      <c r="W144">
        <f t="shared" si="61"/>
        <v>0</v>
      </c>
      <c r="X144">
        <f t="shared" si="62"/>
        <v>0</v>
      </c>
      <c r="Y144">
        <f t="shared" si="63"/>
        <v>0</v>
      </c>
      <c r="Z144">
        <f t="shared" si="64"/>
        <v>0</v>
      </c>
      <c r="AA144">
        <f t="shared" si="65"/>
        <v>0</v>
      </c>
      <c r="AB144">
        <f t="shared" si="66"/>
        <v>0</v>
      </c>
      <c r="AC144">
        <f t="shared" si="67"/>
        <v>0</v>
      </c>
      <c r="AD144">
        <f t="shared" si="68"/>
        <v>0</v>
      </c>
      <c r="AE144">
        <f t="shared" si="69"/>
        <v>0</v>
      </c>
      <c r="AF144">
        <f t="shared" si="70"/>
        <v>0</v>
      </c>
      <c r="AG144">
        <f t="shared" si="71"/>
        <v>0</v>
      </c>
      <c r="AH144">
        <f t="shared" si="72"/>
        <v>0</v>
      </c>
      <c r="AI144">
        <f t="shared" si="73"/>
        <v>0</v>
      </c>
      <c r="AJ144">
        <f t="shared" si="74"/>
        <v>0</v>
      </c>
      <c r="AK144">
        <f t="shared" si="75"/>
        <v>0</v>
      </c>
      <c r="AL144">
        <f t="shared" si="76"/>
        <v>0</v>
      </c>
    </row>
    <row r="145" spans="23:38" x14ac:dyDescent="0.25">
      <c r="W145">
        <f t="shared" si="61"/>
        <v>0</v>
      </c>
      <c r="X145">
        <f t="shared" si="62"/>
        <v>0</v>
      </c>
      <c r="Y145">
        <f t="shared" si="63"/>
        <v>0</v>
      </c>
      <c r="Z145">
        <f t="shared" si="64"/>
        <v>0</v>
      </c>
      <c r="AA145">
        <f t="shared" si="65"/>
        <v>0</v>
      </c>
      <c r="AB145">
        <f t="shared" si="66"/>
        <v>0</v>
      </c>
      <c r="AC145">
        <f t="shared" si="67"/>
        <v>0</v>
      </c>
      <c r="AD145">
        <f t="shared" si="68"/>
        <v>0</v>
      </c>
      <c r="AE145">
        <f t="shared" si="69"/>
        <v>0</v>
      </c>
      <c r="AF145">
        <f t="shared" si="70"/>
        <v>0</v>
      </c>
      <c r="AG145">
        <f t="shared" si="71"/>
        <v>0</v>
      </c>
      <c r="AH145">
        <f t="shared" si="72"/>
        <v>0</v>
      </c>
      <c r="AI145">
        <f t="shared" si="73"/>
        <v>0</v>
      </c>
      <c r="AJ145">
        <f t="shared" si="74"/>
        <v>0</v>
      </c>
      <c r="AK145">
        <f t="shared" si="75"/>
        <v>0</v>
      </c>
      <c r="AL145">
        <f t="shared" si="76"/>
        <v>0</v>
      </c>
    </row>
    <row r="146" spans="23:38" x14ac:dyDescent="0.25">
      <c r="W146">
        <f t="shared" si="61"/>
        <v>0</v>
      </c>
      <c r="X146">
        <f t="shared" si="62"/>
        <v>0</v>
      </c>
      <c r="Y146">
        <f t="shared" si="63"/>
        <v>0</v>
      </c>
      <c r="Z146">
        <f t="shared" si="64"/>
        <v>0</v>
      </c>
      <c r="AA146">
        <f t="shared" si="65"/>
        <v>0</v>
      </c>
      <c r="AB146">
        <f t="shared" si="66"/>
        <v>0</v>
      </c>
      <c r="AC146">
        <f t="shared" si="67"/>
        <v>0</v>
      </c>
      <c r="AD146">
        <f t="shared" si="68"/>
        <v>0</v>
      </c>
      <c r="AE146">
        <f t="shared" si="69"/>
        <v>0</v>
      </c>
      <c r="AF146">
        <f t="shared" si="70"/>
        <v>0</v>
      </c>
      <c r="AG146">
        <f t="shared" si="71"/>
        <v>0</v>
      </c>
      <c r="AH146">
        <f t="shared" si="72"/>
        <v>0</v>
      </c>
      <c r="AI146">
        <f t="shared" si="73"/>
        <v>0</v>
      </c>
      <c r="AJ146">
        <f t="shared" si="74"/>
        <v>0</v>
      </c>
      <c r="AK146">
        <f t="shared" si="75"/>
        <v>0</v>
      </c>
      <c r="AL146">
        <f t="shared" si="76"/>
        <v>0</v>
      </c>
    </row>
    <row r="147" spans="23:38" x14ac:dyDescent="0.25">
      <c r="W147">
        <f t="shared" si="61"/>
        <v>0</v>
      </c>
      <c r="X147">
        <f t="shared" si="62"/>
        <v>0</v>
      </c>
      <c r="Y147">
        <f t="shared" si="63"/>
        <v>0</v>
      </c>
      <c r="Z147">
        <f t="shared" si="64"/>
        <v>0</v>
      </c>
      <c r="AA147">
        <f t="shared" si="65"/>
        <v>0</v>
      </c>
      <c r="AB147">
        <f t="shared" si="66"/>
        <v>0</v>
      </c>
      <c r="AC147">
        <f t="shared" si="67"/>
        <v>0</v>
      </c>
      <c r="AD147">
        <f t="shared" si="68"/>
        <v>0</v>
      </c>
      <c r="AE147">
        <f t="shared" si="69"/>
        <v>0</v>
      </c>
      <c r="AF147">
        <f t="shared" si="70"/>
        <v>0</v>
      </c>
      <c r="AG147">
        <f t="shared" si="71"/>
        <v>0</v>
      </c>
      <c r="AH147">
        <f t="shared" si="72"/>
        <v>0</v>
      </c>
      <c r="AI147">
        <f t="shared" si="73"/>
        <v>0</v>
      </c>
      <c r="AJ147">
        <f t="shared" si="74"/>
        <v>0</v>
      </c>
      <c r="AK147">
        <f t="shared" si="75"/>
        <v>0</v>
      </c>
      <c r="AL147">
        <f t="shared" si="76"/>
        <v>0</v>
      </c>
    </row>
    <row r="148" spans="23:38" x14ac:dyDescent="0.25">
      <c r="W148">
        <f t="shared" si="61"/>
        <v>0</v>
      </c>
      <c r="X148">
        <f t="shared" si="62"/>
        <v>0</v>
      </c>
      <c r="Y148">
        <f t="shared" si="63"/>
        <v>0</v>
      </c>
      <c r="Z148">
        <f t="shared" si="64"/>
        <v>0</v>
      </c>
      <c r="AA148">
        <f t="shared" si="65"/>
        <v>0</v>
      </c>
      <c r="AB148">
        <f t="shared" si="66"/>
        <v>0</v>
      </c>
      <c r="AC148">
        <f t="shared" si="67"/>
        <v>0</v>
      </c>
      <c r="AD148">
        <f t="shared" si="68"/>
        <v>0</v>
      </c>
      <c r="AE148">
        <f t="shared" si="69"/>
        <v>0</v>
      </c>
      <c r="AF148">
        <f t="shared" si="70"/>
        <v>0</v>
      </c>
      <c r="AG148">
        <f t="shared" si="71"/>
        <v>0</v>
      </c>
      <c r="AH148">
        <f t="shared" si="72"/>
        <v>0</v>
      </c>
      <c r="AI148">
        <f t="shared" si="73"/>
        <v>0</v>
      </c>
      <c r="AJ148">
        <f t="shared" si="74"/>
        <v>0</v>
      </c>
      <c r="AK148">
        <f t="shared" si="75"/>
        <v>0</v>
      </c>
      <c r="AL148">
        <f t="shared" si="76"/>
        <v>0</v>
      </c>
    </row>
    <row r="149" spans="23:38" x14ac:dyDescent="0.25">
      <c r="W149">
        <f t="shared" si="61"/>
        <v>0</v>
      </c>
      <c r="X149">
        <f t="shared" si="62"/>
        <v>0</v>
      </c>
      <c r="Y149">
        <f t="shared" si="63"/>
        <v>0</v>
      </c>
      <c r="Z149">
        <f t="shared" si="64"/>
        <v>0</v>
      </c>
      <c r="AA149">
        <f t="shared" si="65"/>
        <v>0</v>
      </c>
      <c r="AB149">
        <f t="shared" si="66"/>
        <v>0</v>
      </c>
      <c r="AC149">
        <f t="shared" si="67"/>
        <v>0</v>
      </c>
      <c r="AD149">
        <f t="shared" si="68"/>
        <v>0</v>
      </c>
      <c r="AE149">
        <f t="shared" si="69"/>
        <v>0</v>
      </c>
      <c r="AF149">
        <f t="shared" si="70"/>
        <v>0</v>
      </c>
      <c r="AG149">
        <f t="shared" si="71"/>
        <v>0</v>
      </c>
      <c r="AH149">
        <f t="shared" si="72"/>
        <v>0</v>
      </c>
      <c r="AI149">
        <f t="shared" si="73"/>
        <v>0</v>
      </c>
      <c r="AJ149">
        <f t="shared" si="74"/>
        <v>0</v>
      </c>
      <c r="AK149">
        <f t="shared" si="75"/>
        <v>0</v>
      </c>
      <c r="AL149">
        <f t="shared" si="76"/>
        <v>0</v>
      </c>
    </row>
    <row r="150" spans="23:38" x14ac:dyDescent="0.25">
      <c r="W150">
        <f t="shared" si="61"/>
        <v>0</v>
      </c>
      <c r="X150">
        <f t="shared" si="62"/>
        <v>0</v>
      </c>
      <c r="Y150">
        <f t="shared" si="63"/>
        <v>0</v>
      </c>
      <c r="Z150">
        <f t="shared" si="64"/>
        <v>0</v>
      </c>
      <c r="AA150">
        <f t="shared" si="65"/>
        <v>0</v>
      </c>
      <c r="AB150">
        <f t="shared" si="66"/>
        <v>0</v>
      </c>
      <c r="AC150">
        <f t="shared" si="67"/>
        <v>0</v>
      </c>
      <c r="AD150">
        <f t="shared" si="68"/>
        <v>0</v>
      </c>
      <c r="AE150">
        <f t="shared" si="69"/>
        <v>0</v>
      </c>
      <c r="AF150">
        <f t="shared" si="70"/>
        <v>0</v>
      </c>
      <c r="AG150">
        <f t="shared" si="71"/>
        <v>0</v>
      </c>
      <c r="AH150">
        <f t="shared" si="72"/>
        <v>0</v>
      </c>
      <c r="AI150">
        <f t="shared" si="73"/>
        <v>0</v>
      </c>
      <c r="AJ150">
        <f t="shared" si="74"/>
        <v>0</v>
      </c>
      <c r="AK150">
        <f t="shared" si="75"/>
        <v>0</v>
      </c>
      <c r="AL150">
        <f t="shared" si="76"/>
        <v>0</v>
      </c>
    </row>
    <row r="151" spans="23:38" x14ac:dyDescent="0.25">
      <c r="W151">
        <f t="shared" si="61"/>
        <v>0</v>
      </c>
      <c r="X151">
        <f t="shared" si="62"/>
        <v>0</v>
      </c>
      <c r="Y151">
        <f t="shared" si="63"/>
        <v>0</v>
      </c>
      <c r="Z151">
        <f t="shared" si="64"/>
        <v>0</v>
      </c>
      <c r="AA151">
        <f t="shared" si="65"/>
        <v>0</v>
      </c>
      <c r="AB151">
        <f t="shared" si="66"/>
        <v>0</v>
      </c>
      <c r="AC151">
        <f t="shared" si="67"/>
        <v>0</v>
      </c>
      <c r="AD151">
        <f t="shared" si="68"/>
        <v>0</v>
      </c>
      <c r="AE151">
        <f t="shared" si="69"/>
        <v>0</v>
      </c>
      <c r="AF151">
        <f t="shared" si="70"/>
        <v>0</v>
      </c>
      <c r="AG151">
        <f t="shared" si="71"/>
        <v>0</v>
      </c>
      <c r="AH151">
        <f t="shared" si="72"/>
        <v>0</v>
      </c>
      <c r="AI151">
        <f t="shared" si="73"/>
        <v>0</v>
      </c>
      <c r="AJ151">
        <f t="shared" si="74"/>
        <v>0</v>
      </c>
      <c r="AK151">
        <f t="shared" si="75"/>
        <v>0</v>
      </c>
      <c r="AL151">
        <f t="shared" si="76"/>
        <v>0</v>
      </c>
    </row>
    <row r="152" spans="23:38" x14ac:dyDescent="0.25">
      <c r="W152">
        <f t="shared" si="61"/>
        <v>0</v>
      </c>
      <c r="X152">
        <f t="shared" si="62"/>
        <v>0</v>
      </c>
      <c r="Y152">
        <f t="shared" si="63"/>
        <v>0</v>
      </c>
      <c r="Z152">
        <f t="shared" si="64"/>
        <v>0</v>
      </c>
      <c r="AA152">
        <f t="shared" si="65"/>
        <v>0</v>
      </c>
      <c r="AB152">
        <f t="shared" si="66"/>
        <v>0</v>
      </c>
      <c r="AC152">
        <f t="shared" si="67"/>
        <v>0</v>
      </c>
      <c r="AD152">
        <f t="shared" si="68"/>
        <v>0</v>
      </c>
      <c r="AE152">
        <f t="shared" si="69"/>
        <v>0</v>
      </c>
      <c r="AF152">
        <f t="shared" si="70"/>
        <v>0</v>
      </c>
      <c r="AG152">
        <f t="shared" si="71"/>
        <v>0</v>
      </c>
      <c r="AH152">
        <f t="shared" si="72"/>
        <v>0</v>
      </c>
      <c r="AI152">
        <f t="shared" si="73"/>
        <v>0</v>
      </c>
      <c r="AJ152">
        <f t="shared" si="74"/>
        <v>0</v>
      </c>
      <c r="AK152">
        <f t="shared" si="75"/>
        <v>0</v>
      </c>
      <c r="AL152">
        <f t="shared" si="76"/>
        <v>0</v>
      </c>
    </row>
    <row r="153" spans="23:38" x14ac:dyDescent="0.25">
      <c r="W153">
        <f t="shared" si="61"/>
        <v>0</v>
      </c>
      <c r="X153">
        <f t="shared" si="62"/>
        <v>0</v>
      </c>
      <c r="Y153">
        <f t="shared" si="63"/>
        <v>0</v>
      </c>
      <c r="Z153">
        <f t="shared" si="64"/>
        <v>0</v>
      </c>
      <c r="AA153">
        <f t="shared" si="65"/>
        <v>0</v>
      </c>
      <c r="AB153">
        <f t="shared" si="66"/>
        <v>0</v>
      </c>
      <c r="AC153">
        <f t="shared" si="67"/>
        <v>0</v>
      </c>
      <c r="AD153">
        <f t="shared" si="68"/>
        <v>0</v>
      </c>
      <c r="AE153">
        <f t="shared" si="69"/>
        <v>0</v>
      </c>
      <c r="AF153">
        <f t="shared" si="70"/>
        <v>0</v>
      </c>
      <c r="AG153">
        <f t="shared" si="71"/>
        <v>0</v>
      </c>
      <c r="AH153">
        <f t="shared" si="72"/>
        <v>0</v>
      </c>
      <c r="AI153">
        <f t="shared" si="73"/>
        <v>0</v>
      </c>
      <c r="AJ153">
        <f t="shared" si="74"/>
        <v>0</v>
      </c>
      <c r="AK153">
        <f t="shared" si="75"/>
        <v>0</v>
      </c>
      <c r="AL153">
        <f t="shared" si="76"/>
        <v>0</v>
      </c>
    </row>
    <row r="154" spans="23:38" x14ac:dyDescent="0.25">
      <c r="W154">
        <f t="shared" si="61"/>
        <v>0</v>
      </c>
      <c r="X154">
        <f t="shared" si="62"/>
        <v>0</v>
      </c>
      <c r="Y154">
        <f t="shared" si="63"/>
        <v>0</v>
      </c>
      <c r="Z154">
        <f t="shared" si="64"/>
        <v>0</v>
      </c>
      <c r="AA154">
        <f t="shared" si="65"/>
        <v>0</v>
      </c>
      <c r="AB154">
        <f t="shared" si="66"/>
        <v>0</v>
      </c>
      <c r="AC154">
        <f t="shared" si="67"/>
        <v>0</v>
      </c>
      <c r="AD154">
        <f t="shared" si="68"/>
        <v>0</v>
      </c>
      <c r="AE154">
        <f t="shared" si="69"/>
        <v>0</v>
      </c>
      <c r="AF154">
        <f t="shared" si="70"/>
        <v>0</v>
      </c>
      <c r="AG154">
        <f t="shared" si="71"/>
        <v>0</v>
      </c>
      <c r="AH154">
        <f t="shared" si="72"/>
        <v>0</v>
      </c>
      <c r="AI154">
        <f t="shared" si="73"/>
        <v>0</v>
      </c>
      <c r="AJ154">
        <f t="shared" si="74"/>
        <v>0</v>
      </c>
      <c r="AK154">
        <f t="shared" si="75"/>
        <v>0</v>
      </c>
      <c r="AL154">
        <f t="shared" si="76"/>
        <v>0</v>
      </c>
    </row>
    <row r="155" spans="23:38" x14ac:dyDescent="0.25">
      <c r="W155">
        <f t="shared" si="61"/>
        <v>0</v>
      </c>
      <c r="X155">
        <f t="shared" si="62"/>
        <v>0</v>
      </c>
      <c r="Y155">
        <f t="shared" si="63"/>
        <v>0</v>
      </c>
      <c r="Z155">
        <f t="shared" si="64"/>
        <v>0</v>
      </c>
      <c r="AA155">
        <f t="shared" si="65"/>
        <v>0</v>
      </c>
      <c r="AB155">
        <f t="shared" si="66"/>
        <v>0</v>
      </c>
      <c r="AC155">
        <f t="shared" si="67"/>
        <v>0</v>
      </c>
      <c r="AD155">
        <f t="shared" si="68"/>
        <v>0</v>
      </c>
      <c r="AE155">
        <f t="shared" si="69"/>
        <v>0</v>
      </c>
      <c r="AF155">
        <f t="shared" si="70"/>
        <v>0</v>
      </c>
      <c r="AG155">
        <f t="shared" si="71"/>
        <v>0</v>
      </c>
      <c r="AH155">
        <f t="shared" si="72"/>
        <v>0</v>
      </c>
      <c r="AI155">
        <f t="shared" si="73"/>
        <v>0</v>
      </c>
      <c r="AJ155">
        <f t="shared" si="74"/>
        <v>0</v>
      </c>
      <c r="AK155">
        <f t="shared" si="75"/>
        <v>0</v>
      </c>
      <c r="AL155">
        <f t="shared" si="76"/>
        <v>0</v>
      </c>
    </row>
    <row r="156" spans="23:38" x14ac:dyDescent="0.25">
      <c r="W156">
        <f t="shared" si="61"/>
        <v>0</v>
      </c>
      <c r="X156">
        <f t="shared" si="62"/>
        <v>0</v>
      </c>
      <c r="Y156">
        <f t="shared" si="63"/>
        <v>0</v>
      </c>
      <c r="Z156">
        <f t="shared" si="64"/>
        <v>0</v>
      </c>
      <c r="AA156">
        <f t="shared" si="65"/>
        <v>0</v>
      </c>
      <c r="AB156">
        <f t="shared" si="66"/>
        <v>0</v>
      </c>
      <c r="AC156">
        <f t="shared" si="67"/>
        <v>0</v>
      </c>
      <c r="AD156">
        <f t="shared" si="68"/>
        <v>0</v>
      </c>
      <c r="AE156">
        <f t="shared" si="69"/>
        <v>0</v>
      </c>
      <c r="AF156">
        <f t="shared" si="70"/>
        <v>0</v>
      </c>
      <c r="AG156">
        <f t="shared" si="71"/>
        <v>0</v>
      </c>
      <c r="AH156">
        <f t="shared" si="72"/>
        <v>0</v>
      </c>
      <c r="AI156">
        <f t="shared" si="73"/>
        <v>0</v>
      </c>
      <c r="AJ156">
        <f t="shared" si="74"/>
        <v>0</v>
      </c>
      <c r="AK156">
        <f t="shared" si="75"/>
        <v>0</v>
      </c>
      <c r="AL156">
        <f t="shared" si="76"/>
        <v>0</v>
      </c>
    </row>
    <row r="157" spans="23:38" x14ac:dyDescent="0.25">
      <c r="W157">
        <f t="shared" si="61"/>
        <v>0</v>
      </c>
      <c r="X157">
        <f t="shared" si="62"/>
        <v>0</v>
      </c>
      <c r="Y157">
        <f t="shared" si="63"/>
        <v>0</v>
      </c>
      <c r="Z157">
        <f t="shared" si="64"/>
        <v>0</v>
      </c>
      <c r="AA157">
        <f t="shared" si="65"/>
        <v>0</v>
      </c>
      <c r="AB157">
        <f t="shared" si="66"/>
        <v>0</v>
      </c>
      <c r="AC157">
        <f t="shared" si="67"/>
        <v>0</v>
      </c>
      <c r="AD157">
        <f t="shared" si="68"/>
        <v>0</v>
      </c>
      <c r="AE157">
        <f t="shared" si="69"/>
        <v>0</v>
      </c>
      <c r="AF157">
        <f t="shared" si="70"/>
        <v>0</v>
      </c>
      <c r="AG157">
        <f t="shared" si="71"/>
        <v>0</v>
      </c>
      <c r="AH157">
        <f t="shared" si="72"/>
        <v>0</v>
      </c>
      <c r="AI157">
        <f t="shared" si="73"/>
        <v>0</v>
      </c>
      <c r="AJ157">
        <f t="shared" si="74"/>
        <v>0</v>
      </c>
      <c r="AK157">
        <f t="shared" si="75"/>
        <v>0</v>
      </c>
      <c r="AL157">
        <f t="shared" si="76"/>
        <v>0</v>
      </c>
    </row>
    <row r="158" spans="23:38" x14ac:dyDescent="0.25">
      <c r="W158">
        <f t="shared" si="61"/>
        <v>0</v>
      </c>
      <c r="X158">
        <f t="shared" si="62"/>
        <v>0</v>
      </c>
      <c r="Y158">
        <f t="shared" si="63"/>
        <v>0</v>
      </c>
      <c r="Z158">
        <f t="shared" si="64"/>
        <v>0</v>
      </c>
      <c r="AA158">
        <f t="shared" si="65"/>
        <v>0</v>
      </c>
      <c r="AB158">
        <f t="shared" si="66"/>
        <v>0</v>
      </c>
      <c r="AC158">
        <f t="shared" si="67"/>
        <v>0</v>
      </c>
      <c r="AD158">
        <f t="shared" si="68"/>
        <v>0</v>
      </c>
      <c r="AE158">
        <f t="shared" si="69"/>
        <v>0</v>
      </c>
      <c r="AF158">
        <f t="shared" si="70"/>
        <v>0</v>
      </c>
      <c r="AG158">
        <f t="shared" si="71"/>
        <v>0</v>
      </c>
      <c r="AH158">
        <f t="shared" si="72"/>
        <v>0</v>
      </c>
      <c r="AI158">
        <f t="shared" si="73"/>
        <v>0</v>
      </c>
      <c r="AJ158">
        <f t="shared" si="74"/>
        <v>0</v>
      </c>
      <c r="AK158">
        <f t="shared" si="75"/>
        <v>0</v>
      </c>
      <c r="AL158">
        <f t="shared" si="76"/>
        <v>0</v>
      </c>
    </row>
    <row r="159" spans="23:38" x14ac:dyDescent="0.25">
      <c r="W159">
        <f t="shared" si="61"/>
        <v>0</v>
      </c>
      <c r="X159">
        <f t="shared" si="62"/>
        <v>0</v>
      </c>
      <c r="Y159">
        <f t="shared" si="63"/>
        <v>0</v>
      </c>
      <c r="Z159">
        <f t="shared" si="64"/>
        <v>0</v>
      </c>
      <c r="AA159">
        <f t="shared" si="65"/>
        <v>0</v>
      </c>
      <c r="AB159">
        <f t="shared" si="66"/>
        <v>0</v>
      </c>
      <c r="AC159">
        <f t="shared" si="67"/>
        <v>0</v>
      </c>
      <c r="AD159">
        <f t="shared" si="68"/>
        <v>0</v>
      </c>
      <c r="AE159">
        <f t="shared" si="69"/>
        <v>0</v>
      </c>
      <c r="AF159">
        <f t="shared" si="70"/>
        <v>0</v>
      </c>
      <c r="AG159">
        <f t="shared" si="71"/>
        <v>0</v>
      </c>
      <c r="AH159">
        <f t="shared" si="72"/>
        <v>0</v>
      </c>
      <c r="AI159">
        <f t="shared" si="73"/>
        <v>0</v>
      </c>
      <c r="AJ159">
        <f t="shared" si="74"/>
        <v>0</v>
      </c>
      <c r="AK159">
        <f t="shared" si="75"/>
        <v>0</v>
      </c>
      <c r="AL159">
        <f t="shared" si="76"/>
        <v>0</v>
      </c>
    </row>
    <row r="160" spans="23:38" x14ac:dyDescent="0.25">
      <c r="W160">
        <f t="shared" si="61"/>
        <v>0</v>
      </c>
      <c r="X160">
        <f t="shared" si="62"/>
        <v>0</v>
      </c>
      <c r="Y160">
        <f t="shared" si="63"/>
        <v>0</v>
      </c>
      <c r="Z160">
        <f t="shared" si="64"/>
        <v>0</v>
      </c>
      <c r="AA160">
        <f t="shared" si="65"/>
        <v>0</v>
      </c>
      <c r="AB160">
        <f t="shared" si="66"/>
        <v>0</v>
      </c>
      <c r="AC160">
        <f t="shared" si="67"/>
        <v>0</v>
      </c>
      <c r="AD160">
        <f t="shared" si="68"/>
        <v>0</v>
      </c>
      <c r="AE160">
        <f t="shared" si="69"/>
        <v>0</v>
      </c>
      <c r="AF160">
        <f t="shared" si="70"/>
        <v>0</v>
      </c>
      <c r="AG160">
        <f t="shared" si="71"/>
        <v>0</v>
      </c>
      <c r="AH160">
        <f t="shared" si="72"/>
        <v>0</v>
      </c>
      <c r="AI160">
        <f t="shared" si="73"/>
        <v>0</v>
      </c>
      <c r="AJ160">
        <f t="shared" si="74"/>
        <v>0</v>
      </c>
      <c r="AK160">
        <f t="shared" si="75"/>
        <v>0</v>
      </c>
      <c r="AL160">
        <f t="shared" si="76"/>
        <v>0</v>
      </c>
    </row>
    <row r="161" spans="23:38" x14ac:dyDescent="0.25">
      <c r="W161">
        <f t="shared" si="61"/>
        <v>0</v>
      </c>
      <c r="X161">
        <f t="shared" si="62"/>
        <v>0</v>
      </c>
      <c r="Y161">
        <f t="shared" si="63"/>
        <v>0</v>
      </c>
      <c r="Z161">
        <f t="shared" si="64"/>
        <v>0</v>
      </c>
      <c r="AA161">
        <f t="shared" si="65"/>
        <v>0</v>
      </c>
      <c r="AB161">
        <f t="shared" si="66"/>
        <v>0</v>
      </c>
      <c r="AC161">
        <f t="shared" si="67"/>
        <v>0</v>
      </c>
      <c r="AD161">
        <f t="shared" si="68"/>
        <v>0</v>
      </c>
      <c r="AE161">
        <f t="shared" si="69"/>
        <v>0</v>
      </c>
      <c r="AF161">
        <f t="shared" si="70"/>
        <v>0</v>
      </c>
      <c r="AG161">
        <f t="shared" si="71"/>
        <v>0</v>
      </c>
      <c r="AH161">
        <f t="shared" si="72"/>
        <v>0</v>
      </c>
      <c r="AI161">
        <f t="shared" si="73"/>
        <v>0</v>
      </c>
      <c r="AJ161">
        <f t="shared" si="74"/>
        <v>0</v>
      </c>
      <c r="AK161">
        <f t="shared" si="75"/>
        <v>0</v>
      </c>
      <c r="AL161">
        <f t="shared" si="76"/>
        <v>0</v>
      </c>
    </row>
    <row r="162" spans="23:38" x14ac:dyDescent="0.25">
      <c r="W162">
        <f t="shared" si="61"/>
        <v>0</v>
      </c>
      <c r="X162">
        <f t="shared" si="62"/>
        <v>0</v>
      </c>
      <c r="Y162">
        <f t="shared" si="63"/>
        <v>0</v>
      </c>
      <c r="Z162">
        <f t="shared" si="64"/>
        <v>0</v>
      </c>
      <c r="AA162">
        <f t="shared" si="65"/>
        <v>0</v>
      </c>
      <c r="AB162">
        <f t="shared" si="66"/>
        <v>0</v>
      </c>
      <c r="AC162">
        <f t="shared" si="67"/>
        <v>0</v>
      </c>
      <c r="AD162">
        <f t="shared" si="68"/>
        <v>0</v>
      </c>
      <c r="AE162">
        <f t="shared" si="69"/>
        <v>0</v>
      </c>
      <c r="AF162">
        <f t="shared" si="70"/>
        <v>0</v>
      </c>
      <c r="AG162">
        <f t="shared" si="71"/>
        <v>0</v>
      </c>
      <c r="AH162">
        <f t="shared" si="72"/>
        <v>0</v>
      </c>
      <c r="AI162">
        <f t="shared" si="73"/>
        <v>0</v>
      </c>
      <c r="AJ162">
        <f t="shared" si="74"/>
        <v>0</v>
      </c>
      <c r="AK162">
        <f t="shared" si="75"/>
        <v>0</v>
      </c>
      <c r="AL162">
        <f t="shared" si="76"/>
        <v>0</v>
      </c>
    </row>
    <row r="163" spans="23:38" x14ac:dyDescent="0.25">
      <c r="W163">
        <f t="shared" si="61"/>
        <v>0</v>
      </c>
      <c r="X163">
        <f t="shared" si="62"/>
        <v>0</v>
      </c>
      <c r="Y163">
        <f t="shared" si="63"/>
        <v>0</v>
      </c>
      <c r="Z163">
        <f t="shared" si="64"/>
        <v>0</v>
      </c>
      <c r="AA163">
        <f t="shared" si="65"/>
        <v>0</v>
      </c>
      <c r="AB163">
        <f t="shared" si="66"/>
        <v>0</v>
      </c>
      <c r="AC163">
        <f t="shared" si="67"/>
        <v>0</v>
      </c>
      <c r="AD163">
        <f t="shared" si="68"/>
        <v>0</v>
      </c>
      <c r="AE163">
        <f t="shared" si="69"/>
        <v>0</v>
      </c>
      <c r="AF163">
        <f t="shared" si="70"/>
        <v>0</v>
      </c>
      <c r="AG163">
        <f t="shared" si="71"/>
        <v>0</v>
      </c>
      <c r="AH163">
        <f t="shared" si="72"/>
        <v>0</v>
      </c>
      <c r="AI163">
        <f t="shared" si="73"/>
        <v>0</v>
      </c>
      <c r="AJ163">
        <f t="shared" si="74"/>
        <v>0</v>
      </c>
      <c r="AK163">
        <f t="shared" si="75"/>
        <v>0</v>
      </c>
      <c r="AL163">
        <f t="shared" si="76"/>
        <v>0</v>
      </c>
    </row>
    <row r="164" spans="23:38" x14ac:dyDescent="0.25">
      <c r="W164">
        <f t="shared" si="61"/>
        <v>0</v>
      </c>
      <c r="X164">
        <f t="shared" si="62"/>
        <v>0</v>
      </c>
      <c r="Y164">
        <f t="shared" si="63"/>
        <v>0</v>
      </c>
      <c r="Z164">
        <f t="shared" si="64"/>
        <v>0</v>
      </c>
      <c r="AA164">
        <f t="shared" si="65"/>
        <v>0</v>
      </c>
      <c r="AB164">
        <f t="shared" si="66"/>
        <v>0</v>
      </c>
      <c r="AC164">
        <f t="shared" si="67"/>
        <v>0</v>
      </c>
      <c r="AD164">
        <f t="shared" si="68"/>
        <v>0</v>
      </c>
      <c r="AE164">
        <f t="shared" si="69"/>
        <v>0</v>
      </c>
      <c r="AF164">
        <f t="shared" si="70"/>
        <v>0</v>
      </c>
      <c r="AG164">
        <f t="shared" si="71"/>
        <v>0</v>
      </c>
      <c r="AH164">
        <f t="shared" si="72"/>
        <v>0</v>
      </c>
      <c r="AI164">
        <f t="shared" si="73"/>
        <v>0</v>
      </c>
      <c r="AJ164">
        <f t="shared" si="74"/>
        <v>0</v>
      </c>
      <c r="AK164">
        <f t="shared" si="75"/>
        <v>0</v>
      </c>
      <c r="AL164">
        <f t="shared" si="76"/>
        <v>0</v>
      </c>
    </row>
    <row r="165" spans="23:38" x14ac:dyDescent="0.25">
      <c r="W165">
        <f t="shared" si="61"/>
        <v>0</v>
      </c>
      <c r="X165">
        <f t="shared" si="62"/>
        <v>0</v>
      </c>
      <c r="Y165">
        <f t="shared" si="63"/>
        <v>0</v>
      </c>
      <c r="Z165">
        <f t="shared" si="64"/>
        <v>0</v>
      </c>
      <c r="AA165">
        <f t="shared" si="65"/>
        <v>0</v>
      </c>
      <c r="AB165">
        <f t="shared" si="66"/>
        <v>0</v>
      </c>
      <c r="AC165">
        <f t="shared" si="67"/>
        <v>0</v>
      </c>
      <c r="AD165">
        <f t="shared" si="68"/>
        <v>0</v>
      </c>
      <c r="AE165">
        <f t="shared" si="69"/>
        <v>0</v>
      </c>
      <c r="AF165">
        <f t="shared" si="70"/>
        <v>0</v>
      </c>
      <c r="AG165">
        <f t="shared" si="71"/>
        <v>0</v>
      </c>
      <c r="AH165">
        <f t="shared" si="72"/>
        <v>0</v>
      </c>
      <c r="AI165">
        <f t="shared" si="73"/>
        <v>0</v>
      </c>
      <c r="AJ165">
        <f t="shared" si="74"/>
        <v>0</v>
      </c>
      <c r="AK165">
        <f t="shared" si="75"/>
        <v>0</v>
      </c>
      <c r="AL165">
        <f t="shared" si="76"/>
        <v>0</v>
      </c>
    </row>
    <row r="166" spans="23:38" x14ac:dyDescent="0.25">
      <c r="W166">
        <f t="shared" si="61"/>
        <v>0</v>
      </c>
      <c r="X166">
        <f t="shared" si="62"/>
        <v>0</v>
      </c>
      <c r="Y166">
        <f t="shared" si="63"/>
        <v>0</v>
      </c>
      <c r="Z166">
        <f t="shared" si="64"/>
        <v>0</v>
      </c>
      <c r="AA166">
        <f t="shared" si="65"/>
        <v>0</v>
      </c>
      <c r="AB166">
        <f t="shared" si="66"/>
        <v>0</v>
      </c>
      <c r="AC166">
        <f t="shared" si="67"/>
        <v>0</v>
      </c>
      <c r="AD166">
        <f t="shared" si="68"/>
        <v>0</v>
      </c>
      <c r="AE166">
        <f t="shared" si="69"/>
        <v>0</v>
      </c>
      <c r="AF166">
        <f t="shared" si="70"/>
        <v>0</v>
      </c>
      <c r="AG166">
        <f t="shared" si="71"/>
        <v>0</v>
      </c>
      <c r="AH166">
        <f t="shared" si="72"/>
        <v>0</v>
      </c>
      <c r="AI166">
        <f t="shared" si="73"/>
        <v>0</v>
      </c>
      <c r="AJ166">
        <f t="shared" si="74"/>
        <v>0</v>
      </c>
      <c r="AK166">
        <f t="shared" si="75"/>
        <v>0</v>
      </c>
      <c r="AL166">
        <f t="shared" si="76"/>
        <v>0</v>
      </c>
    </row>
    <row r="167" spans="23:38" x14ac:dyDescent="0.25">
      <c r="W167">
        <f t="shared" si="61"/>
        <v>0</v>
      </c>
      <c r="X167">
        <f t="shared" si="62"/>
        <v>0</v>
      </c>
      <c r="Y167">
        <f t="shared" si="63"/>
        <v>0</v>
      </c>
      <c r="Z167">
        <f t="shared" si="64"/>
        <v>0</v>
      </c>
      <c r="AA167">
        <f t="shared" si="65"/>
        <v>0</v>
      </c>
      <c r="AB167">
        <f t="shared" si="66"/>
        <v>0</v>
      </c>
      <c r="AC167">
        <f t="shared" si="67"/>
        <v>0</v>
      </c>
      <c r="AD167">
        <f t="shared" si="68"/>
        <v>0</v>
      </c>
      <c r="AE167">
        <f t="shared" si="69"/>
        <v>0</v>
      </c>
      <c r="AF167">
        <f t="shared" si="70"/>
        <v>0</v>
      </c>
      <c r="AG167">
        <f t="shared" si="71"/>
        <v>0</v>
      </c>
      <c r="AH167">
        <f t="shared" si="72"/>
        <v>0</v>
      </c>
      <c r="AI167">
        <f t="shared" si="73"/>
        <v>0</v>
      </c>
      <c r="AJ167">
        <f t="shared" si="74"/>
        <v>0</v>
      </c>
      <c r="AK167">
        <f t="shared" si="75"/>
        <v>0</v>
      </c>
      <c r="AL167">
        <f t="shared" si="76"/>
        <v>0</v>
      </c>
    </row>
    <row r="168" spans="23:38" x14ac:dyDescent="0.25">
      <c r="W168">
        <f t="shared" si="61"/>
        <v>0</v>
      </c>
      <c r="AL168">
        <f t="shared" si="76"/>
        <v>0</v>
      </c>
    </row>
    <row r="169" spans="23:38" x14ac:dyDescent="0.25">
      <c r="AL169">
        <f t="shared" si="76"/>
        <v>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A261-07B0-44E2-898C-EC07350F7EB8}">
  <dimension ref="A1:AL169"/>
  <sheetViews>
    <sheetView workbookViewId="0">
      <selection activeCell="M28" sqref="M28"/>
    </sheetView>
  </sheetViews>
  <sheetFormatPr defaultRowHeight="15" x14ac:dyDescent="0.25"/>
  <cols>
    <col min="1" max="1" width="23" customWidth="1"/>
    <col min="2" max="2" width="23.42578125" customWidth="1"/>
    <col min="3" max="3" width="20.140625" customWidth="1"/>
    <col min="4" max="4" width="21.140625" customWidth="1"/>
    <col min="5" max="5" width="20.42578125" customWidth="1"/>
    <col min="17" max="17" width="9.140625" style="18"/>
    <col min="23" max="23" width="35" customWidth="1"/>
    <col min="24" max="24" width="8.7109375" customWidth="1"/>
  </cols>
  <sheetData>
    <row r="1" spans="1:38" x14ac:dyDescent="0.25">
      <c r="A1" t="s">
        <v>325</v>
      </c>
      <c r="B1" t="s">
        <v>104</v>
      </c>
      <c r="C1" t="s">
        <v>179</v>
      </c>
      <c r="D1" t="s">
        <v>47</v>
      </c>
      <c r="E1" t="s">
        <v>373</v>
      </c>
    </row>
    <row r="2" spans="1:38" x14ac:dyDescent="0.25">
      <c r="A2" t="s">
        <v>326</v>
      </c>
      <c r="B2" t="s">
        <v>43</v>
      </c>
      <c r="C2" t="s">
        <v>373</v>
      </c>
      <c r="D2" t="s">
        <v>24</v>
      </c>
      <c r="E2" t="s">
        <v>334</v>
      </c>
    </row>
    <row r="3" spans="1:38" x14ac:dyDescent="0.25">
      <c r="A3" t="s">
        <v>327</v>
      </c>
      <c r="B3" t="s">
        <v>37</v>
      </c>
      <c r="C3" t="s">
        <v>177</v>
      </c>
      <c r="D3" t="s">
        <v>29</v>
      </c>
      <c r="E3" t="s">
        <v>143</v>
      </c>
      <c r="X3">
        <f>SUM(X5:X167)</f>
        <v>169</v>
      </c>
      <c r="Y3">
        <f t="shared" ref="Y3:AA3" si="0">SUM(Y5:Y167)</f>
        <v>169</v>
      </c>
      <c r="Z3">
        <f t="shared" si="0"/>
        <v>169</v>
      </c>
      <c r="AA3">
        <f t="shared" si="0"/>
        <v>169</v>
      </c>
    </row>
    <row r="4" spans="1:38" ht="15.75" thickBot="1" x14ac:dyDescent="0.3">
      <c r="A4" s="19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  <c r="K4" s="19" t="s">
        <v>12</v>
      </c>
      <c r="L4" s="19" t="s">
        <v>13</v>
      </c>
      <c r="M4" s="19" t="s">
        <v>14</v>
      </c>
      <c r="N4" s="19" t="s">
        <v>15</v>
      </c>
      <c r="O4" s="19" t="s">
        <v>16</v>
      </c>
      <c r="W4" t="s">
        <v>2</v>
      </c>
      <c r="X4" t="s">
        <v>3</v>
      </c>
      <c r="Y4" t="s">
        <v>4</v>
      </c>
      <c r="Z4" t="s">
        <v>5</v>
      </c>
      <c r="AA4" t="s">
        <v>6</v>
      </c>
      <c r="AB4" s="8" t="s">
        <v>7</v>
      </c>
      <c r="AC4" s="8" t="s">
        <v>8</v>
      </c>
      <c r="AD4" s="8" t="s">
        <v>9</v>
      </c>
      <c r="AE4" s="8" t="s">
        <v>10</v>
      </c>
      <c r="AF4" s="8" t="s">
        <v>11</v>
      </c>
      <c r="AG4" s="8" t="s">
        <v>12</v>
      </c>
      <c r="AH4" s="8" t="s">
        <v>13</v>
      </c>
      <c r="AI4" s="8" t="s">
        <v>14</v>
      </c>
      <c r="AJ4" s="8" t="s">
        <v>15</v>
      </c>
      <c r="AK4" s="8" t="s">
        <v>16</v>
      </c>
      <c r="AL4" s="11" t="s">
        <v>324</v>
      </c>
    </row>
    <row r="5" spans="1:38" x14ac:dyDescent="0.25">
      <c r="A5" t="s">
        <v>313</v>
      </c>
      <c r="B5">
        <v>5</v>
      </c>
      <c r="T5" s="1" t="s">
        <v>0</v>
      </c>
      <c r="U5" s="9" t="s">
        <v>320</v>
      </c>
      <c r="W5" t="str">
        <f>A5</f>
        <v>05A-UWTSD-GREENHILL-UPWARD</v>
      </c>
      <c r="X5">
        <f t="shared" ref="X5:AK36" si="1">_xlfn.IFNA(LOOKUP(B5,$T$6:$T$25,$U$6:$U$25),0)+COUNTIF(B$1:B$3,$W5)</f>
        <v>16</v>
      </c>
      <c r="Y5">
        <f t="shared" si="1"/>
        <v>0</v>
      </c>
      <c r="Z5">
        <f t="shared" si="1"/>
        <v>0</v>
      </c>
      <c r="AA5">
        <f t="shared" si="1"/>
        <v>0</v>
      </c>
      <c r="AB5">
        <f t="shared" si="1"/>
        <v>0</v>
      </c>
      <c r="AC5">
        <f t="shared" si="1"/>
        <v>0</v>
      </c>
      <c r="AD5">
        <f t="shared" si="1"/>
        <v>0</v>
      </c>
      <c r="AE5">
        <f t="shared" si="1"/>
        <v>0</v>
      </c>
      <c r="AF5">
        <f t="shared" si="1"/>
        <v>0</v>
      </c>
      <c r="AG5">
        <f t="shared" si="1"/>
        <v>0</v>
      </c>
      <c r="AH5">
        <f t="shared" si="1"/>
        <v>0</v>
      </c>
      <c r="AI5">
        <f t="shared" si="1"/>
        <v>0</v>
      </c>
      <c r="AJ5">
        <f t="shared" si="1"/>
        <v>0</v>
      </c>
      <c r="AK5">
        <f t="shared" si="1"/>
        <v>0</v>
      </c>
      <c r="AL5">
        <f>SUM(X5:AK5)</f>
        <v>16</v>
      </c>
    </row>
    <row r="6" spans="1:38" x14ac:dyDescent="0.25">
      <c r="A6" t="s">
        <v>334</v>
      </c>
      <c r="E6">
        <v>10</v>
      </c>
      <c r="T6" s="2">
        <v>1</v>
      </c>
      <c r="U6" s="6">
        <v>25</v>
      </c>
      <c r="W6" t="str">
        <f t="shared" ref="W6:W69" si="2">A6</f>
        <v>05C-UWTSD-GRIFFITHS</v>
      </c>
      <c r="X6">
        <f t="shared" si="1"/>
        <v>0</v>
      </c>
      <c r="Y6">
        <f t="shared" si="1"/>
        <v>0</v>
      </c>
      <c r="Z6">
        <f t="shared" si="1"/>
        <v>0</v>
      </c>
      <c r="AA6">
        <f t="shared" si="1"/>
        <v>7</v>
      </c>
      <c r="AB6">
        <f t="shared" si="1"/>
        <v>0</v>
      </c>
      <c r="AC6">
        <f t="shared" si="1"/>
        <v>0</v>
      </c>
      <c r="AD6">
        <f t="shared" si="1"/>
        <v>0</v>
      </c>
      <c r="AE6">
        <f t="shared" si="1"/>
        <v>0</v>
      </c>
      <c r="AF6">
        <f t="shared" si="1"/>
        <v>0</v>
      </c>
      <c r="AG6">
        <f t="shared" si="1"/>
        <v>0</v>
      </c>
      <c r="AH6">
        <f t="shared" si="1"/>
        <v>0</v>
      </c>
      <c r="AI6">
        <f t="shared" si="1"/>
        <v>0</v>
      </c>
      <c r="AJ6">
        <f t="shared" si="1"/>
        <v>0</v>
      </c>
      <c r="AK6">
        <f t="shared" si="1"/>
        <v>0</v>
      </c>
      <c r="AL6">
        <f t="shared" ref="AL6:AL68" si="3">SUM(X6:AK6)</f>
        <v>7</v>
      </c>
    </row>
    <row r="7" spans="1:38" x14ac:dyDescent="0.25">
      <c r="A7" t="s">
        <v>337</v>
      </c>
      <c r="C7">
        <v>1</v>
      </c>
      <c r="T7" s="2">
        <v>2</v>
      </c>
      <c r="U7" s="6">
        <v>22</v>
      </c>
      <c r="W7" t="str">
        <f t="shared" si="2"/>
        <v>06B-SALF-ARMSTRONG</v>
      </c>
      <c r="X7">
        <f t="shared" si="1"/>
        <v>0</v>
      </c>
      <c r="Y7">
        <f t="shared" si="1"/>
        <v>25</v>
      </c>
      <c r="Z7">
        <f t="shared" si="1"/>
        <v>0</v>
      </c>
      <c r="AA7">
        <f t="shared" si="1"/>
        <v>0</v>
      </c>
      <c r="AB7">
        <f t="shared" si="1"/>
        <v>0</v>
      </c>
      <c r="AC7">
        <f t="shared" si="1"/>
        <v>0</v>
      </c>
      <c r="AD7">
        <f t="shared" si="1"/>
        <v>0</v>
      </c>
      <c r="AE7">
        <f t="shared" si="1"/>
        <v>0</v>
      </c>
      <c r="AF7">
        <f t="shared" si="1"/>
        <v>0</v>
      </c>
      <c r="AG7">
        <f t="shared" si="1"/>
        <v>0</v>
      </c>
      <c r="AH7">
        <f t="shared" si="1"/>
        <v>0</v>
      </c>
      <c r="AI7">
        <f t="shared" si="1"/>
        <v>0</v>
      </c>
      <c r="AJ7">
        <f t="shared" si="1"/>
        <v>0</v>
      </c>
      <c r="AK7">
        <f t="shared" si="1"/>
        <v>0</v>
      </c>
      <c r="AL7">
        <f t="shared" si="3"/>
        <v>25</v>
      </c>
    </row>
    <row r="8" spans="1:38" x14ac:dyDescent="0.25">
      <c r="A8" t="s">
        <v>339</v>
      </c>
      <c r="C8">
        <v>3</v>
      </c>
      <c r="T8" s="2">
        <v>3</v>
      </c>
      <c r="U8" s="6">
        <v>20</v>
      </c>
      <c r="W8" t="str">
        <f t="shared" si="2"/>
        <v>07B-USM-SMITH</v>
      </c>
      <c r="X8">
        <f t="shared" si="1"/>
        <v>0</v>
      </c>
      <c r="Y8">
        <f t="shared" si="1"/>
        <v>20</v>
      </c>
      <c r="Z8">
        <f t="shared" si="1"/>
        <v>0</v>
      </c>
      <c r="AA8">
        <f t="shared" si="1"/>
        <v>0</v>
      </c>
      <c r="AB8">
        <f t="shared" si="1"/>
        <v>0</v>
      </c>
      <c r="AC8">
        <f t="shared" si="1"/>
        <v>0</v>
      </c>
      <c r="AD8">
        <f t="shared" si="1"/>
        <v>0</v>
      </c>
      <c r="AE8">
        <f t="shared" si="1"/>
        <v>0</v>
      </c>
      <c r="AF8">
        <f t="shared" si="1"/>
        <v>0</v>
      </c>
      <c r="AG8">
        <f t="shared" si="1"/>
        <v>0</v>
      </c>
      <c r="AH8">
        <f t="shared" si="1"/>
        <v>0</v>
      </c>
      <c r="AI8">
        <f t="shared" si="1"/>
        <v>0</v>
      </c>
      <c r="AJ8">
        <f t="shared" si="1"/>
        <v>0</v>
      </c>
      <c r="AK8">
        <f t="shared" si="1"/>
        <v>0</v>
      </c>
      <c r="AL8">
        <f t="shared" si="3"/>
        <v>20</v>
      </c>
    </row>
    <row r="9" spans="1:38" x14ac:dyDescent="0.25">
      <c r="A9" t="s">
        <v>341</v>
      </c>
      <c r="B9">
        <v>2</v>
      </c>
      <c r="T9" s="2">
        <v>4</v>
      </c>
      <c r="U9" s="6">
        <v>18</v>
      </c>
      <c r="W9" t="str">
        <f t="shared" si="2"/>
        <v>07D-USM-MACFARLANE</v>
      </c>
      <c r="X9">
        <f t="shared" si="1"/>
        <v>22</v>
      </c>
      <c r="Y9">
        <f t="shared" si="1"/>
        <v>0</v>
      </c>
      <c r="Z9">
        <f t="shared" si="1"/>
        <v>0</v>
      </c>
      <c r="AA9">
        <f t="shared" si="1"/>
        <v>0</v>
      </c>
      <c r="AB9">
        <f t="shared" si="1"/>
        <v>0</v>
      </c>
      <c r="AC9">
        <f t="shared" si="1"/>
        <v>0</v>
      </c>
      <c r="AD9">
        <f t="shared" si="1"/>
        <v>0</v>
      </c>
      <c r="AE9">
        <f t="shared" si="1"/>
        <v>0</v>
      </c>
      <c r="AF9">
        <f t="shared" si="1"/>
        <v>0</v>
      </c>
      <c r="AG9">
        <f t="shared" si="1"/>
        <v>0</v>
      </c>
      <c r="AH9">
        <f t="shared" si="1"/>
        <v>0</v>
      </c>
      <c r="AI9">
        <f t="shared" si="1"/>
        <v>0</v>
      </c>
      <c r="AJ9">
        <f t="shared" si="1"/>
        <v>0</v>
      </c>
      <c r="AK9">
        <f t="shared" si="1"/>
        <v>0</v>
      </c>
      <c r="AL9">
        <f t="shared" si="3"/>
        <v>22</v>
      </c>
    </row>
    <row r="10" spans="1:38" x14ac:dyDescent="0.25">
      <c r="A10" t="s">
        <v>344</v>
      </c>
      <c r="C10">
        <v>6</v>
      </c>
      <c r="T10" s="2">
        <v>5</v>
      </c>
      <c r="U10" s="6">
        <v>16</v>
      </c>
      <c r="W10" t="str">
        <f t="shared" si="2"/>
        <v>09A-VIT-LOPEZ</v>
      </c>
      <c r="X10">
        <f t="shared" si="1"/>
        <v>0</v>
      </c>
      <c r="Y10">
        <f t="shared" si="1"/>
        <v>14</v>
      </c>
      <c r="Z10">
        <f t="shared" si="1"/>
        <v>0</v>
      </c>
      <c r="AA10">
        <f t="shared" si="1"/>
        <v>0</v>
      </c>
      <c r="AB10">
        <f t="shared" si="1"/>
        <v>0</v>
      </c>
      <c r="AC10">
        <f t="shared" si="1"/>
        <v>0</v>
      </c>
      <c r="AD10">
        <f t="shared" si="1"/>
        <v>0</v>
      </c>
      <c r="AE10">
        <f t="shared" si="1"/>
        <v>0</v>
      </c>
      <c r="AF10">
        <f t="shared" si="1"/>
        <v>0</v>
      </c>
      <c r="AG10">
        <f t="shared" si="1"/>
        <v>0</v>
      </c>
      <c r="AH10">
        <f t="shared" si="1"/>
        <v>0</v>
      </c>
      <c r="AI10">
        <f t="shared" si="1"/>
        <v>0</v>
      </c>
      <c r="AJ10">
        <f t="shared" si="1"/>
        <v>0</v>
      </c>
      <c r="AK10">
        <f t="shared" si="1"/>
        <v>0</v>
      </c>
      <c r="AL10">
        <f t="shared" si="3"/>
        <v>14</v>
      </c>
    </row>
    <row r="11" spans="1:38" x14ac:dyDescent="0.25">
      <c r="A11" t="s">
        <v>318</v>
      </c>
      <c r="B11">
        <v>9</v>
      </c>
      <c r="T11" s="2">
        <v>6</v>
      </c>
      <c r="U11" s="6">
        <v>14</v>
      </c>
      <c r="W11" t="str">
        <f t="shared" si="2"/>
        <v>09D-VIT-MEDIAVILLA</v>
      </c>
      <c r="X11">
        <f t="shared" si="1"/>
        <v>8</v>
      </c>
      <c r="Y11">
        <f t="shared" si="1"/>
        <v>0</v>
      </c>
      <c r="Z11">
        <f t="shared" si="1"/>
        <v>0</v>
      </c>
      <c r="AA11">
        <f t="shared" si="1"/>
        <v>0</v>
      </c>
      <c r="AB11">
        <f t="shared" si="1"/>
        <v>0</v>
      </c>
      <c r="AC11">
        <f t="shared" si="1"/>
        <v>0</v>
      </c>
      <c r="AD11">
        <f t="shared" si="1"/>
        <v>0</v>
      </c>
      <c r="AE11">
        <f t="shared" si="1"/>
        <v>0</v>
      </c>
      <c r="AF11">
        <f t="shared" si="1"/>
        <v>0</v>
      </c>
      <c r="AG11">
        <f t="shared" si="1"/>
        <v>0</v>
      </c>
      <c r="AH11">
        <f t="shared" si="1"/>
        <v>0</v>
      </c>
      <c r="AI11">
        <f t="shared" si="1"/>
        <v>0</v>
      </c>
      <c r="AJ11">
        <f t="shared" si="1"/>
        <v>0</v>
      </c>
      <c r="AK11">
        <f t="shared" si="1"/>
        <v>0</v>
      </c>
      <c r="AL11">
        <f t="shared" si="3"/>
        <v>8</v>
      </c>
    </row>
    <row r="12" spans="1:38" x14ac:dyDescent="0.25">
      <c r="A12" t="s">
        <v>24</v>
      </c>
      <c r="D12">
        <v>8</v>
      </c>
      <c r="T12" s="2">
        <v>7</v>
      </c>
      <c r="U12" s="6">
        <v>12</v>
      </c>
      <c r="W12" t="str">
        <f t="shared" si="2"/>
        <v>10C-ION-PIHL</v>
      </c>
      <c r="X12">
        <f t="shared" si="1"/>
        <v>0</v>
      </c>
      <c r="Y12">
        <f t="shared" si="1"/>
        <v>0</v>
      </c>
      <c r="Z12">
        <f t="shared" si="1"/>
        <v>11</v>
      </c>
      <c r="AA12">
        <f t="shared" si="1"/>
        <v>0</v>
      </c>
      <c r="AB12">
        <f t="shared" si="1"/>
        <v>0</v>
      </c>
      <c r="AC12">
        <f t="shared" si="1"/>
        <v>0</v>
      </c>
      <c r="AD12">
        <f t="shared" si="1"/>
        <v>0</v>
      </c>
      <c r="AE12">
        <f t="shared" si="1"/>
        <v>0</v>
      </c>
      <c r="AF12">
        <f t="shared" si="1"/>
        <v>0</v>
      </c>
      <c r="AG12">
        <f t="shared" si="1"/>
        <v>0</v>
      </c>
      <c r="AH12">
        <f t="shared" si="1"/>
        <v>0</v>
      </c>
      <c r="AI12">
        <f t="shared" si="1"/>
        <v>0</v>
      </c>
      <c r="AJ12">
        <f t="shared" si="1"/>
        <v>0</v>
      </c>
      <c r="AK12">
        <f t="shared" si="1"/>
        <v>0</v>
      </c>
      <c r="AL12">
        <f t="shared" si="3"/>
        <v>11</v>
      </c>
    </row>
    <row r="13" spans="1:38" x14ac:dyDescent="0.25">
      <c r="A13" t="s">
        <v>72</v>
      </c>
      <c r="B13">
        <v>7</v>
      </c>
      <c r="T13" s="2">
        <v>8</v>
      </c>
      <c r="U13" s="6">
        <v>10</v>
      </c>
      <c r="W13" t="str">
        <f t="shared" si="2"/>
        <v>11A-CAMA-SHOAIB</v>
      </c>
      <c r="X13">
        <f t="shared" si="1"/>
        <v>12</v>
      </c>
      <c r="Y13">
        <f t="shared" si="1"/>
        <v>0</v>
      </c>
      <c r="Z13">
        <f t="shared" si="1"/>
        <v>0</v>
      </c>
      <c r="AA13">
        <f t="shared" si="1"/>
        <v>0</v>
      </c>
      <c r="AB13">
        <f t="shared" si="1"/>
        <v>0</v>
      </c>
      <c r="AC13">
        <f t="shared" si="1"/>
        <v>0</v>
      </c>
      <c r="AD13">
        <f t="shared" si="1"/>
        <v>0</v>
      </c>
      <c r="AE13">
        <f t="shared" si="1"/>
        <v>0</v>
      </c>
      <c r="AF13">
        <f t="shared" si="1"/>
        <v>0</v>
      </c>
      <c r="AG13">
        <f t="shared" si="1"/>
        <v>0</v>
      </c>
      <c r="AH13">
        <f t="shared" si="1"/>
        <v>0</v>
      </c>
      <c r="AI13">
        <f t="shared" si="1"/>
        <v>0</v>
      </c>
      <c r="AJ13">
        <f t="shared" si="1"/>
        <v>0</v>
      </c>
      <c r="AK13">
        <f t="shared" si="1"/>
        <v>0</v>
      </c>
      <c r="AL13">
        <f t="shared" si="3"/>
        <v>12</v>
      </c>
    </row>
    <row r="14" spans="1:38" x14ac:dyDescent="0.25">
      <c r="A14" t="s">
        <v>30</v>
      </c>
      <c r="B14">
        <v>15</v>
      </c>
      <c r="C14">
        <v>18</v>
      </c>
      <c r="T14" s="2">
        <v>9</v>
      </c>
      <c r="U14" s="6">
        <v>8</v>
      </c>
      <c r="W14" t="str">
        <f t="shared" si="2"/>
        <v>12B-KING-WILSON-WILLIAMS</v>
      </c>
      <c r="X14">
        <f t="shared" si="1"/>
        <v>1</v>
      </c>
      <c r="Y14">
        <f t="shared" si="1"/>
        <v>0</v>
      </c>
      <c r="Z14">
        <f t="shared" si="1"/>
        <v>0</v>
      </c>
      <c r="AA14">
        <f t="shared" si="1"/>
        <v>0</v>
      </c>
      <c r="AB14">
        <f t="shared" si="1"/>
        <v>0</v>
      </c>
      <c r="AC14">
        <f t="shared" si="1"/>
        <v>0</v>
      </c>
      <c r="AD14">
        <f t="shared" si="1"/>
        <v>0</v>
      </c>
      <c r="AE14">
        <f t="shared" si="1"/>
        <v>0</v>
      </c>
      <c r="AF14">
        <f t="shared" si="1"/>
        <v>0</v>
      </c>
      <c r="AG14">
        <f t="shared" si="1"/>
        <v>0</v>
      </c>
      <c r="AH14">
        <f t="shared" si="1"/>
        <v>0</v>
      </c>
      <c r="AI14">
        <f t="shared" si="1"/>
        <v>0</v>
      </c>
      <c r="AJ14">
        <f t="shared" si="1"/>
        <v>0</v>
      </c>
      <c r="AK14">
        <f t="shared" si="1"/>
        <v>0</v>
      </c>
      <c r="AL14">
        <f t="shared" si="3"/>
        <v>1</v>
      </c>
    </row>
    <row r="15" spans="1:38" x14ac:dyDescent="0.25">
      <c r="A15" t="s">
        <v>83</v>
      </c>
      <c r="B15">
        <v>11</v>
      </c>
      <c r="T15" s="2">
        <v>10</v>
      </c>
      <c r="U15" s="6">
        <v>6</v>
      </c>
      <c r="W15" t="str">
        <f t="shared" si="2"/>
        <v>14E-TAU-LACK</v>
      </c>
      <c r="X15">
        <f t="shared" si="1"/>
        <v>5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  <c r="AJ15">
        <f t="shared" si="1"/>
        <v>0</v>
      </c>
      <c r="AK15">
        <f t="shared" si="1"/>
        <v>0</v>
      </c>
      <c r="AL15">
        <f t="shared" si="3"/>
        <v>5</v>
      </c>
    </row>
    <row r="16" spans="1:38" x14ac:dyDescent="0.25">
      <c r="A16" t="s">
        <v>43</v>
      </c>
      <c r="B16">
        <v>12</v>
      </c>
      <c r="T16" s="2">
        <v>11</v>
      </c>
      <c r="U16" s="6">
        <v>5</v>
      </c>
      <c r="W16" t="str">
        <f t="shared" si="2"/>
        <v>15A-LASS-TAGESTANIAN</v>
      </c>
      <c r="X16">
        <f t="shared" si="1"/>
        <v>5</v>
      </c>
      <c r="Y16">
        <f t="shared" si="1"/>
        <v>0</v>
      </c>
      <c r="Z16">
        <f t="shared" si="1"/>
        <v>0</v>
      </c>
      <c r="AA16">
        <f t="shared" si="1"/>
        <v>0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  <c r="AF16">
        <f t="shared" si="1"/>
        <v>0</v>
      </c>
      <c r="AG16">
        <f t="shared" si="1"/>
        <v>0</v>
      </c>
      <c r="AH16">
        <f t="shared" si="1"/>
        <v>0</v>
      </c>
      <c r="AI16">
        <f t="shared" si="1"/>
        <v>0</v>
      </c>
      <c r="AJ16">
        <f t="shared" si="1"/>
        <v>0</v>
      </c>
      <c r="AK16">
        <f t="shared" si="1"/>
        <v>0</v>
      </c>
      <c r="AL16">
        <f t="shared" si="3"/>
        <v>5</v>
      </c>
    </row>
    <row r="17" spans="1:38" x14ac:dyDescent="0.25">
      <c r="A17" t="s">
        <v>91</v>
      </c>
      <c r="C17">
        <v>11</v>
      </c>
      <c r="D17">
        <v>6</v>
      </c>
      <c r="T17" s="13">
        <v>12</v>
      </c>
      <c r="U17" s="6">
        <v>4</v>
      </c>
      <c r="W17" t="str">
        <f t="shared" si="2"/>
        <v>16A-MAN-ROZEE</v>
      </c>
      <c r="X17">
        <f t="shared" si="1"/>
        <v>0</v>
      </c>
      <c r="Y17">
        <f t="shared" si="1"/>
        <v>5</v>
      </c>
      <c r="Z17">
        <f t="shared" si="1"/>
        <v>14</v>
      </c>
      <c r="AA17">
        <f t="shared" si="1"/>
        <v>0</v>
      </c>
      <c r="AB17">
        <f t="shared" si="1"/>
        <v>0</v>
      </c>
      <c r="AC17">
        <f t="shared" si="1"/>
        <v>0</v>
      </c>
      <c r="AD17">
        <f t="shared" si="1"/>
        <v>0</v>
      </c>
      <c r="AE17">
        <f t="shared" si="1"/>
        <v>0</v>
      </c>
      <c r="AF17">
        <f t="shared" si="1"/>
        <v>0</v>
      </c>
      <c r="AG17">
        <f t="shared" si="1"/>
        <v>0</v>
      </c>
      <c r="AH17">
        <f t="shared" si="1"/>
        <v>0</v>
      </c>
      <c r="AI17">
        <f t="shared" si="1"/>
        <v>0</v>
      </c>
      <c r="AJ17">
        <f t="shared" si="1"/>
        <v>0</v>
      </c>
      <c r="AK17">
        <f t="shared" si="1"/>
        <v>0</v>
      </c>
      <c r="AL17">
        <f t="shared" si="3"/>
        <v>19</v>
      </c>
    </row>
    <row r="18" spans="1:38" x14ac:dyDescent="0.25">
      <c r="A18" t="s">
        <v>31</v>
      </c>
      <c r="B18">
        <v>3</v>
      </c>
      <c r="T18" s="2">
        <v>13</v>
      </c>
      <c r="U18" s="6">
        <v>3</v>
      </c>
      <c r="W18" t="str">
        <f t="shared" si="2"/>
        <v>16B-MAN-WILKINSON</v>
      </c>
      <c r="X18">
        <f t="shared" si="1"/>
        <v>20</v>
      </c>
      <c r="Y18">
        <f t="shared" si="1"/>
        <v>0</v>
      </c>
      <c r="Z18">
        <f t="shared" si="1"/>
        <v>0</v>
      </c>
      <c r="AA18">
        <f t="shared" si="1"/>
        <v>0</v>
      </c>
      <c r="AB18">
        <f t="shared" si="1"/>
        <v>0</v>
      </c>
      <c r="AC18">
        <f t="shared" si="1"/>
        <v>0</v>
      </c>
      <c r="AD18">
        <f t="shared" si="1"/>
        <v>0</v>
      </c>
      <c r="AE18">
        <f t="shared" si="1"/>
        <v>0</v>
      </c>
      <c r="AF18">
        <f t="shared" si="1"/>
        <v>0</v>
      </c>
      <c r="AG18">
        <f t="shared" si="1"/>
        <v>0</v>
      </c>
      <c r="AH18">
        <f t="shared" si="1"/>
        <v>0</v>
      </c>
      <c r="AI18">
        <f t="shared" si="1"/>
        <v>0</v>
      </c>
      <c r="AJ18">
        <f t="shared" si="1"/>
        <v>0</v>
      </c>
      <c r="AK18">
        <f t="shared" si="1"/>
        <v>0</v>
      </c>
      <c r="AL18">
        <f t="shared" si="3"/>
        <v>20</v>
      </c>
    </row>
    <row r="19" spans="1:38" x14ac:dyDescent="0.25">
      <c r="A19" t="s">
        <v>95</v>
      </c>
      <c r="B19">
        <v>13</v>
      </c>
      <c r="T19" s="2">
        <v>14</v>
      </c>
      <c r="U19" s="6">
        <v>2</v>
      </c>
      <c r="W19" t="str">
        <f t="shared" si="2"/>
        <v>17B-UCL-HARRAR</v>
      </c>
      <c r="X19">
        <f t="shared" si="1"/>
        <v>3</v>
      </c>
      <c r="Y19">
        <f t="shared" si="1"/>
        <v>0</v>
      </c>
      <c r="Z19">
        <f t="shared" si="1"/>
        <v>0</v>
      </c>
      <c r="AA19">
        <f t="shared" si="1"/>
        <v>0</v>
      </c>
      <c r="AB19">
        <f t="shared" si="1"/>
        <v>0</v>
      </c>
      <c r="AC19">
        <f t="shared" si="1"/>
        <v>0</v>
      </c>
      <c r="AD19">
        <f t="shared" si="1"/>
        <v>0</v>
      </c>
      <c r="AE19">
        <f t="shared" si="1"/>
        <v>0</v>
      </c>
      <c r="AF19">
        <f t="shared" si="1"/>
        <v>0</v>
      </c>
      <c r="AG19">
        <f t="shared" si="1"/>
        <v>0</v>
      </c>
      <c r="AH19">
        <f t="shared" si="1"/>
        <v>0</v>
      </c>
      <c r="AI19">
        <f t="shared" si="1"/>
        <v>0</v>
      </c>
      <c r="AJ19">
        <f t="shared" si="1"/>
        <v>0</v>
      </c>
      <c r="AK19">
        <f t="shared" si="1"/>
        <v>0</v>
      </c>
      <c r="AL19">
        <f t="shared" si="3"/>
        <v>3</v>
      </c>
    </row>
    <row r="20" spans="1:38" x14ac:dyDescent="0.25">
      <c r="A20" t="s">
        <v>96</v>
      </c>
      <c r="E20">
        <v>20</v>
      </c>
      <c r="T20" s="2">
        <v>15</v>
      </c>
      <c r="U20" s="6">
        <v>1</v>
      </c>
      <c r="W20" t="str">
        <f t="shared" si="2"/>
        <v>17C-UCL-TOSHOV</v>
      </c>
      <c r="X20">
        <f t="shared" si="1"/>
        <v>0</v>
      </c>
      <c r="Y20">
        <f t="shared" si="1"/>
        <v>0</v>
      </c>
      <c r="Z20">
        <f t="shared" si="1"/>
        <v>0</v>
      </c>
      <c r="AA20">
        <f t="shared" si="1"/>
        <v>0</v>
      </c>
      <c r="AB20">
        <f t="shared" si="1"/>
        <v>0</v>
      </c>
      <c r="AC20">
        <f t="shared" si="1"/>
        <v>0</v>
      </c>
      <c r="AD20">
        <f t="shared" si="1"/>
        <v>0</v>
      </c>
      <c r="AE20">
        <f t="shared" si="1"/>
        <v>0</v>
      </c>
      <c r="AF20">
        <f t="shared" si="1"/>
        <v>0</v>
      </c>
      <c r="AG20">
        <f t="shared" si="1"/>
        <v>0</v>
      </c>
      <c r="AH20">
        <f t="shared" si="1"/>
        <v>0</v>
      </c>
      <c r="AI20">
        <f t="shared" si="1"/>
        <v>0</v>
      </c>
      <c r="AJ20">
        <f t="shared" si="1"/>
        <v>0</v>
      </c>
      <c r="AK20">
        <f t="shared" si="1"/>
        <v>0</v>
      </c>
      <c r="AL20">
        <f t="shared" si="3"/>
        <v>0</v>
      </c>
    </row>
    <row r="21" spans="1:38" x14ac:dyDescent="0.25">
      <c r="A21" t="s">
        <v>98</v>
      </c>
      <c r="C21">
        <v>7</v>
      </c>
      <c r="D21">
        <v>15</v>
      </c>
      <c r="T21" s="2">
        <v>16</v>
      </c>
      <c r="U21" s="6">
        <v>0</v>
      </c>
      <c r="W21" t="str">
        <f t="shared" si="2"/>
        <v>17E-UCL-SHAH</v>
      </c>
      <c r="X21">
        <f t="shared" si="1"/>
        <v>0</v>
      </c>
      <c r="Y21">
        <f t="shared" si="1"/>
        <v>12</v>
      </c>
      <c r="Z21">
        <f t="shared" si="1"/>
        <v>1</v>
      </c>
      <c r="AA21">
        <f t="shared" si="1"/>
        <v>0</v>
      </c>
      <c r="AB21">
        <f t="shared" si="1"/>
        <v>0</v>
      </c>
      <c r="AC21">
        <f t="shared" si="1"/>
        <v>0</v>
      </c>
      <c r="AD21">
        <f t="shared" si="1"/>
        <v>0</v>
      </c>
      <c r="AE21">
        <f t="shared" si="1"/>
        <v>0</v>
      </c>
      <c r="AF21">
        <f t="shared" si="1"/>
        <v>0</v>
      </c>
      <c r="AG21">
        <f t="shared" si="1"/>
        <v>0</v>
      </c>
      <c r="AH21">
        <f t="shared" si="1"/>
        <v>0</v>
      </c>
      <c r="AI21">
        <f t="shared" si="1"/>
        <v>0</v>
      </c>
      <c r="AJ21">
        <f t="shared" si="1"/>
        <v>0</v>
      </c>
      <c r="AK21">
        <f t="shared" si="1"/>
        <v>0</v>
      </c>
      <c r="AL21">
        <f t="shared" si="3"/>
        <v>13</v>
      </c>
    </row>
    <row r="22" spans="1:38" x14ac:dyDescent="0.25">
      <c r="A22" t="s">
        <v>373</v>
      </c>
      <c r="C22">
        <v>2</v>
      </c>
      <c r="E22">
        <v>7</v>
      </c>
      <c r="T22" s="2">
        <v>17</v>
      </c>
      <c r="U22" s="6">
        <v>0</v>
      </c>
      <c r="W22" t="str">
        <f t="shared" si="2"/>
        <v>18A-FSTN-O’DONNELL</v>
      </c>
      <c r="X22">
        <f t="shared" si="1"/>
        <v>0</v>
      </c>
      <c r="Y22">
        <f t="shared" si="1"/>
        <v>23</v>
      </c>
      <c r="Z22">
        <f t="shared" si="1"/>
        <v>0</v>
      </c>
      <c r="AA22">
        <f t="shared" si="1"/>
        <v>13</v>
      </c>
      <c r="AB22">
        <f t="shared" si="1"/>
        <v>0</v>
      </c>
      <c r="AC22">
        <f t="shared" si="1"/>
        <v>0</v>
      </c>
      <c r="AD22">
        <f t="shared" si="1"/>
        <v>0</v>
      </c>
      <c r="AE22">
        <f t="shared" si="1"/>
        <v>0</v>
      </c>
      <c r="AF22">
        <f t="shared" si="1"/>
        <v>0</v>
      </c>
      <c r="AG22">
        <f t="shared" si="1"/>
        <v>0</v>
      </c>
      <c r="AH22">
        <f t="shared" si="1"/>
        <v>0</v>
      </c>
      <c r="AI22">
        <f t="shared" si="1"/>
        <v>0</v>
      </c>
      <c r="AJ22">
        <f t="shared" si="1"/>
        <v>0</v>
      </c>
      <c r="AK22">
        <f t="shared" si="1"/>
        <v>0</v>
      </c>
      <c r="AL22">
        <f t="shared" si="3"/>
        <v>36</v>
      </c>
    </row>
    <row r="23" spans="1:38" x14ac:dyDescent="0.25">
      <c r="A23" t="s">
        <v>100</v>
      </c>
      <c r="D23">
        <v>10</v>
      </c>
      <c r="T23" s="2">
        <v>18</v>
      </c>
      <c r="U23" s="6">
        <v>0</v>
      </c>
      <c r="W23" t="str">
        <f t="shared" si="2"/>
        <v>18C-FSTN-BAILEY</v>
      </c>
      <c r="X23">
        <f t="shared" si="1"/>
        <v>0</v>
      </c>
      <c r="Y23">
        <f t="shared" si="1"/>
        <v>0</v>
      </c>
      <c r="Z23">
        <f t="shared" si="1"/>
        <v>6</v>
      </c>
      <c r="AA23">
        <f t="shared" ref="AA23:AK54" si="4">_xlfn.IFNA(LOOKUP(E23,$T$6:$T$25,$U$6:$U$25),0)+COUNTIF(E$1:E$3,$W23)</f>
        <v>0</v>
      </c>
      <c r="AB23">
        <f t="shared" si="4"/>
        <v>0</v>
      </c>
      <c r="AC23">
        <f t="shared" si="4"/>
        <v>0</v>
      </c>
      <c r="AD23">
        <f t="shared" si="4"/>
        <v>0</v>
      </c>
      <c r="AE23">
        <f t="shared" si="4"/>
        <v>0</v>
      </c>
      <c r="AF23">
        <f t="shared" si="4"/>
        <v>0</v>
      </c>
      <c r="AG23">
        <f t="shared" si="4"/>
        <v>0</v>
      </c>
      <c r="AH23">
        <f t="shared" si="4"/>
        <v>0</v>
      </c>
      <c r="AI23">
        <f t="shared" si="4"/>
        <v>0</v>
      </c>
      <c r="AJ23">
        <f t="shared" si="4"/>
        <v>0</v>
      </c>
      <c r="AK23">
        <f t="shared" si="4"/>
        <v>0</v>
      </c>
      <c r="AL23">
        <f t="shared" si="3"/>
        <v>6</v>
      </c>
    </row>
    <row r="24" spans="1:38" x14ac:dyDescent="0.25">
      <c r="A24" t="s">
        <v>103</v>
      </c>
      <c r="C24">
        <v>8</v>
      </c>
      <c r="D24">
        <v>5</v>
      </c>
      <c r="T24" s="2">
        <v>19</v>
      </c>
      <c r="U24" s="6">
        <v>0</v>
      </c>
      <c r="W24" t="str">
        <f t="shared" si="2"/>
        <v>19A-YORKA-GUNN</v>
      </c>
      <c r="X24">
        <f t="shared" ref="X24:AB55" si="5">_xlfn.IFNA(LOOKUP(B24,$T$6:$T$25,$U$6:$U$25),0)+COUNTIF(B$1:B$3,$W24)</f>
        <v>0</v>
      </c>
      <c r="Y24">
        <f t="shared" si="5"/>
        <v>10</v>
      </c>
      <c r="Z24">
        <f t="shared" si="5"/>
        <v>16</v>
      </c>
      <c r="AA24">
        <f t="shared" si="4"/>
        <v>0</v>
      </c>
      <c r="AB24">
        <f t="shared" si="4"/>
        <v>0</v>
      </c>
      <c r="AC24">
        <f t="shared" si="4"/>
        <v>0</v>
      </c>
      <c r="AD24">
        <f t="shared" si="4"/>
        <v>0</v>
      </c>
      <c r="AE24">
        <f t="shared" si="4"/>
        <v>0</v>
      </c>
      <c r="AF24">
        <f t="shared" si="4"/>
        <v>0</v>
      </c>
      <c r="AG24">
        <f t="shared" si="4"/>
        <v>0</v>
      </c>
      <c r="AH24">
        <f t="shared" si="4"/>
        <v>0</v>
      </c>
      <c r="AI24">
        <f t="shared" si="4"/>
        <v>0</v>
      </c>
      <c r="AJ24">
        <f t="shared" si="4"/>
        <v>0</v>
      </c>
      <c r="AK24">
        <f t="shared" si="4"/>
        <v>0</v>
      </c>
      <c r="AL24">
        <f t="shared" si="3"/>
        <v>26</v>
      </c>
    </row>
    <row r="25" spans="1:38" ht="15.75" thickBot="1" x14ac:dyDescent="0.3">
      <c r="A25" t="s">
        <v>104</v>
      </c>
      <c r="B25">
        <v>1</v>
      </c>
      <c r="E25">
        <v>11</v>
      </c>
      <c r="T25" s="4">
        <v>20</v>
      </c>
      <c r="U25" s="7">
        <v>0</v>
      </c>
      <c r="W25" t="str">
        <f t="shared" si="2"/>
        <v>19B-YORKA-SHAMSUL</v>
      </c>
      <c r="X25">
        <f t="shared" si="5"/>
        <v>26</v>
      </c>
      <c r="Y25">
        <f t="shared" si="5"/>
        <v>0</v>
      </c>
      <c r="Z25">
        <f t="shared" si="5"/>
        <v>0</v>
      </c>
      <c r="AA25">
        <f t="shared" si="4"/>
        <v>5</v>
      </c>
      <c r="AB25">
        <f t="shared" si="4"/>
        <v>0</v>
      </c>
      <c r="AC25">
        <f t="shared" si="4"/>
        <v>0</v>
      </c>
      <c r="AD25">
        <f t="shared" si="4"/>
        <v>0</v>
      </c>
      <c r="AE25">
        <f t="shared" si="4"/>
        <v>0</v>
      </c>
      <c r="AF25">
        <f t="shared" si="4"/>
        <v>0</v>
      </c>
      <c r="AG25">
        <f t="shared" si="4"/>
        <v>0</v>
      </c>
      <c r="AH25">
        <f t="shared" si="4"/>
        <v>0</v>
      </c>
      <c r="AI25">
        <f t="shared" si="4"/>
        <v>0</v>
      </c>
      <c r="AJ25">
        <f t="shared" si="4"/>
        <v>0</v>
      </c>
      <c r="AK25">
        <f t="shared" si="4"/>
        <v>0</v>
      </c>
      <c r="AL25">
        <f t="shared" si="3"/>
        <v>31</v>
      </c>
    </row>
    <row r="26" spans="1:38" x14ac:dyDescent="0.25">
      <c r="A26" t="s">
        <v>371</v>
      </c>
      <c r="C26">
        <v>14</v>
      </c>
      <c r="D26">
        <v>17</v>
      </c>
      <c r="U26">
        <f>SUM(U6:U25)+3</f>
        <v>169</v>
      </c>
      <c r="W26" t="str">
        <f t="shared" si="2"/>
        <v>20A-SHU-ELLARSHAW</v>
      </c>
      <c r="X26">
        <f t="shared" si="5"/>
        <v>0</v>
      </c>
      <c r="Y26">
        <f t="shared" si="5"/>
        <v>2</v>
      </c>
      <c r="Z26">
        <f t="shared" si="5"/>
        <v>0</v>
      </c>
      <c r="AA26">
        <f t="shared" si="4"/>
        <v>0</v>
      </c>
      <c r="AB26">
        <f t="shared" si="4"/>
        <v>0</v>
      </c>
      <c r="AC26">
        <f t="shared" si="4"/>
        <v>0</v>
      </c>
      <c r="AD26">
        <f t="shared" si="4"/>
        <v>0</v>
      </c>
      <c r="AE26">
        <f t="shared" si="4"/>
        <v>0</v>
      </c>
      <c r="AF26">
        <f t="shared" si="4"/>
        <v>0</v>
      </c>
      <c r="AG26">
        <f t="shared" si="4"/>
        <v>0</v>
      </c>
      <c r="AH26">
        <f t="shared" si="4"/>
        <v>0</v>
      </c>
      <c r="AI26">
        <f t="shared" si="4"/>
        <v>0</v>
      </c>
      <c r="AJ26">
        <f t="shared" si="4"/>
        <v>0</v>
      </c>
      <c r="AK26">
        <f t="shared" si="4"/>
        <v>0</v>
      </c>
      <c r="AL26">
        <f t="shared" si="3"/>
        <v>2</v>
      </c>
    </row>
    <row r="27" spans="1:38" x14ac:dyDescent="0.25">
      <c r="A27" t="s">
        <v>111</v>
      </c>
      <c r="E27">
        <v>12</v>
      </c>
      <c r="W27" t="str">
        <f t="shared" si="2"/>
        <v>20B-SHU-DEUGO</v>
      </c>
      <c r="X27">
        <f t="shared" si="5"/>
        <v>0</v>
      </c>
      <c r="Y27">
        <f t="shared" si="5"/>
        <v>0</v>
      </c>
      <c r="Z27">
        <f t="shared" si="5"/>
        <v>0</v>
      </c>
      <c r="AA27">
        <f t="shared" si="4"/>
        <v>4</v>
      </c>
      <c r="AB27">
        <f t="shared" si="4"/>
        <v>0</v>
      </c>
      <c r="AC27">
        <f t="shared" si="4"/>
        <v>0</v>
      </c>
      <c r="AD27">
        <f t="shared" si="4"/>
        <v>0</v>
      </c>
      <c r="AE27">
        <f t="shared" si="4"/>
        <v>0</v>
      </c>
      <c r="AF27">
        <f t="shared" si="4"/>
        <v>0</v>
      </c>
      <c r="AG27">
        <f t="shared" si="4"/>
        <v>0</v>
      </c>
      <c r="AH27">
        <f t="shared" si="4"/>
        <v>0</v>
      </c>
      <c r="AI27">
        <f t="shared" si="4"/>
        <v>0</v>
      </c>
      <c r="AJ27">
        <f t="shared" si="4"/>
        <v>0</v>
      </c>
      <c r="AK27">
        <f t="shared" si="4"/>
        <v>0</v>
      </c>
      <c r="AL27">
        <f t="shared" si="3"/>
        <v>4</v>
      </c>
    </row>
    <row r="28" spans="1:38" x14ac:dyDescent="0.25">
      <c r="A28" t="s">
        <v>112</v>
      </c>
      <c r="B28">
        <v>8</v>
      </c>
      <c r="W28" t="str">
        <f t="shared" si="2"/>
        <v>20C-SHU-UPTON</v>
      </c>
      <c r="X28">
        <f t="shared" si="5"/>
        <v>10</v>
      </c>
      <c r="Y28">
        <f t="shared" si="5"/>
        <v>0</v>
      </c>
      <c r="Z28">
        <f t="shared" si="5"/>
        <v>0</v>
      </c>
      <c r="AA28">
        <f t="shared" si="4"/>
        <v>0</v>
      </c>
      <c r="AB28">
        <f t="shared" si="4"/>
        <v>0</v>
      </c>
      <c r="AC28">
        <f t="shared" si="4"/>
        <v>0</v>
      </c>
      <c r="AD28">
        <f t="shared" si="4"/>
        <v>0</v>
      </c>
      <c r="AE28">
        <f t="shared" si="4"/>
        <v>0</v>
      </c>
      <c r="AF28">
        <f t="shared" si="4"/>
        <v>0</v>
      </c>
      <c r="AG28">
        <f t="shared" si="4"/>
        <v>0</v>
      </c>
      <c r="AH28">
        <f t="shared" si="4"/>
        <v>0</v>
      </c>
      <c r="AI28">
        <f t="shared" si="4"/>
        <v>0</v>
      </c>
      <c r="AJ28">
        <f t="shared" si="4"/>
        <v>0</v>
      </c>
      <c r="AK28">
        <f t="shared" si="4"/>
        <v>0</v>
      </c>
      <c r="AL28">
        <f t="shared" si="3"/>
        <v>10</v>
      </c>
    </row>
    <row r="29" spans="1:38" x14ac:dyDescent="0.25">
      <c r="A29" t="s">
        <v>116</v>
      </c>
      <c r="C29">
        <v>16</v>
      </c>
      <c r="E29">
        <v>5</v>
      </c>
      <c r="W29" t="str">
        <f t="shared" si="2"/>
        <v>21B-STAF-BURDEN</v>
      </c>
      <c r="X29">
        <f t="shared" si="5"/>
        <v>0</v>
      </c>
      <c r="Y29">
        <f t="shared" si="5"/>
        <v>0</v>
      </c>
      <c r="Z29">
        <f t="shared" si="5"/>
        <v>0</v>
      </c>
      <c r="AA29">
        <f t="shared" si="4"/>
        <v>16</v>
      </c>
      <c r="AB29">
        <f t="shared" si="4"/>
        <v>0</v>
      </c>
      <c r="AC29">
        <f t="shared" si="4"/>
        <v>0</v>
      </c>
      <c r="AD29">
        <f t="shared" si="4"/>
        <v>0</v>
      </c>
      <c r="AE29">
        <f t="shared" si="4"/>
        <v>0</v>
      </c>
      <c r="AF29">
        <f t="shared" si="4"/>
        <v>0</v>
      </c>
      <c r="AG29">
        <f t="shared" si="4"/>
        <v>0</v>
      </c>
      <c r="AH29">
        <f t="shared" si="4"/>
        <v>0</v>
      </c>
      <c r="AI29">
        <f t="shared" si="4"/>
        <v>0</v>
      </c>
      <c r="AJ29">
        <f t="shared" si="4"/>
        <v>0</v>
      </c>
      <c r="AK29">
        <f t="shared" si="4"/>
        <v>0</v>
      </c>
      <c r="AL29">
        <f t="shared" si="3"/>
        <v>16</v>
      </c>
    </row>
    <row r="30" spans="1:38" x14ac:dyDescent="0.25">
      <c r="A30" t="s">
        <v>120</v>
      </c>
      <c r="C30">
        <v>5</v>
      </c>
      <c r="D30">
        <v>12</v>
      </c>
      <c r="E30">
        <v>13</v>
      </c>
      <c r="W30" t="str">
        <f t="shared" si="2"/>
        <v>22A-HW-MANIKANDAN</v>
      </c>
      <c r="X30">
        <f t="shared" si="5"/>
        <v>0</v>
      </c>
      <c r="Y30">
        <f t="shared" si="5"/>
        <v>16</v>
      </c>
      <c r="Z30">
        <f t="shared" si="5"/>
        <v>4</v>
      </c>
      <c r="AA30">
        <f t="shared" si="4"/>
        <v>3</v>
      </c>
      <c r="AB30">
        <f t="shared" si="4"/>
        <v>0</v>
      </c>
      <c r="AC30">
        <f t="shared" si="4"/>
        <v>0</v>
      </c>
      <c r="AD30">
        <f t="shared" si="4"/>
        <v>0</v>
      </c>
      <c r="AE30">
        <f t="shared" si="4"/>
        <v>0</v>
      </c>
      <c r="AF30">
        <f t="shared" si="4"/>
        <v>0</v>
      </c>
      <c r="AG30">
        <f t="shared" si="4"/>
        <v>0</v>
      </c>
      <c r="AH30">
        <f t="shared" si="4"/>
        <v>0</v>
      </c>
      <c r="AI30">
        <f t="shared" si="4"/>
        <v>0</v>
      </c>
      <c r="AJ30">
        <f t="shared" si="4"/>
        <v>0</v>
      </c>
      <c r="AK30">
        <f t="shared" si="4"/>
        <v>0</v>
      </c>
      <c r="AL30">
        <f t="shared" si="3"/>
        <v>23</v>
      </c>
    </row>
    <row r="31" spans="1:38" x14ac:dyDescent="0.25">
      <c r="A31" t="s">
        <v>123</v>
      </c>
      <c r="E31">
        <v>18</v>
      </c>
      <c r="W31" t="str">
        <f t="shared" si="2"/>
        <v>23B-HULLB-BIRDSALL</v>
      </c>
      <c r="X31">
        <f t="shared" si="5"/>
        <v>0</v>
      </c>
      <c r="Y31">
        <f t="shared" si="5"/>
        <v>0</v>
      </c>
      <c r="Z31">
        <f t="shared" si="5"/>
        <v>0</v>
      </c>
      <c r="AA31">
        <f t="shared" si="4"/>
        <v>0</v>
      </c>
      <c r="AB31">
        <f t="shared" si="4"/>
        <v>0</v>
      </c>
      <c r="AC31">
        <f t="shared" si="4"/>
        <v>0</v>
      </c>
      <c r="AD31">
        <f t="shared" si="4"/>
        <v>0</v>
      </c>
      <c r="AE31">
        <f t="shared" si="4"/>
        <v>0</v>
      </c>
      <c r="AF31">
        <f t="shared" si="4"/>
        <v>0</v>
      </c>
      <c r="AG31">
        <f t="shared" si="4"/>
        <v>0</v>
      </c>
      <c r="AH31">
        <f t="shared" si="4"/>
        <v>0</v>
      </c>
      <c r="AI31">
        <f t="shared" si="4"/>
        <v>0</v>
      </c>
      <c r="AJ31">
        <f t="shared" si="4"/>
        <v>0</v>
      </c>
      <c r="AK31">
        <f t="shared" si="4"/>
        <v>0</v>
      </c>
      <c r="AL31">
        <f t="shared" si="3"/>
        <v>0</v>
      </c>
    </row>
    <row r="32" spans="1:38" x14ac:dyDescent="0.25">
      <c r="A32" t="s">
        <v>29</v>
      </c>
      <c r="D32">
        <v>3</v>
      </c>
      <c r="W32" t="str">
        <f t="shared" si="2"/>
        <v>24C-UPRE-BENNETT-SANTAMARIA</v>
      </c>
      <c r="X32">
        <f t="shared" si="5"/>
        <v>0</v>
      </c>
      <c r="Y32">
        <f t="shared" si="5"/>
        <v>0</v>
      </c>
      <c r="Z32">
        <f t="shared" si="5"/>
        <v>21</v>
      </c>
      <c r="AA32">
        <f t="shared" si="4"/>
        <v>0</v>
      </c>
      <c r="AB32">
        <f t="shared" si="4"/>
        <v>0</v>
      </c>
      <c r="AC32">
        <f t="shared" si="4"/>
        <v>0</v>
      </c>
      <c r="AD32">
        <f t="shared" si="4"/>
        <v>0</v>
      </c>
      <c r="AE32">
        <f t="shared" si="4"/>
        <v>0</v>
      </c>
      <c r="AF32">
        <f t="shared" si="4"/>
        <v>0</v>
      </c>
      <c r="AG32">
        <f t="shared" si="4"/>
        <v>0</v>
      </c>
      <c r="AH32">
        <f t="shared" si="4"/>
        <v>0</v>
      </c>
      <c r="AI32">
        <f t="shared" si="4"/>
        <v>0</v>
      </c>
      <c r="AJ32">
        <f t="shared" si="4"/>
        <v>0</v>
      </c>
      <c r="AK32">
        <f t="shared" si="4"/>
        <v>0</v>
      </c>
      <c r="AL32">
        <f t="shared" si="3"/>
        <v>21</v>
      </c>
    </row>
    <row r="33" spans="1:38" x14ac:dyDescent="0.25">
      <c r="A33" t="s">
        <v>130</v>
      </c>
      <c r="D33">
        <v>19</v>
      </c>
      <c r="W33" t="str">
        <f t="shared" si="2"/>
        <v>25A-PSU-JANSRITONG</v>
      </c>
      <c r="X33">
        <f t="shared" si="5"/>
        <v>0</v>
      </c>
      <c r="Y33">
        <f t="shared" si="5"/>
        <v>0</v>
      </c>
      <c r="Z33">
        <f t="shared" si="5"/>
        <v>0</v>
      </c>
      <c r="AA33">
        <f t="shared" si="4"/>
        <v>0</v>
      </c>
      <c r="AB33">
        <f t="shared" si="4"/>
        <v>0</v>
      </c>
      <c r="AC33">
        <f t="shared" si="4"/>
        <v>0</v>
      </c>
      <c r="AD33">
        <f t="shared" si="4"/>
        <v>0</v>
      </c>
      <c r="AE33">
        <f t="shared" si="4"/>
        <v>0</v>
      </c>
      <c r="AF33">
        <f t="shared" si="4"/>
        <v>0</v>
      </c>
      <c r="AG33">
        <f t="shared" si="4"/>
        <v>0</v>
      </c>
      <c r="AH33">
        <f t="shared" si="4"/>
        <v>0</v>
      </c>
      <c r="AI33">
        <f t="shared" si="4"/>
        <v>0</v>
      </c>
      <c r="AJ33">
        <f t="shared" si="4"/>
        <v>0</v>
      </c>
      <c r="AK33">
        <f t="shared" si="4"/>
        <v>0</v>
      </c>
      <c r="AL33">
        <f t="shared" si="3"/>
        <v>0</v>
      </c>
    </row>
    <row r="34" spans="1:38" x14ac:dyDescent="0.25">
      <c r="A34" t="s">
        <v>131</v>
      </c>
      <c r="E34">
        <v>19</v>
      </c>
      <c r="W34" t="str">
        <f t="shared" si="2"/>
        <v>25B-PSU-RAKSAPON</v>
      </c>
      <c r="X34">
        <f t="shared" si="5"/>
        <v>0</v>
      </c>
      <c r="Y34">
        <f t="shared" si="5"/>
        <v>0</v>
      </c>
      <c r="Z34">
        <f t="shared" si="5"/>
        <v>0</v>
      </c>
      <c r="AA34">
        <f t="shared" si="4"/>
        <v>0</v>
      </c>
      <c r="AB34">
        <f t="shared" si="4"/>
        <v>0</v>
      </c>
      <c r="AC34">
        <f t="shared" si="4"/>
        <v>0</v>
      </c>
      <c r="AD34">
        <f t="shared" si="4"/>
        <v>0</v>
      </c>
      <c r="AE34">
        <f t="shared" si="4"/>
        <v>0</v>
      </c>
      <c r="AF34">
        <f t="shared" si="4"/>
        <v>0</v>
      </c>
      <c r="AG34">
        <f t="shared" si="4"/>
        <v>0</v>
      </c>
      <c r="AH34">
        <f t="shared" si="4"/>
        <v>0</v>
      </c>
      <c r="AI34">
        <f t="shared" si="4"/>
        <v>0</v>
      </c>
      <c r="AJ34">
        <f t="shared" si="4"/>
        <v>0</v>
      </c>
      <c r="AK34">
        <f t="shared" si="4"/>
        <v>0</v>
      </c>
      <c r="AL34">
        <f t="shared" si="3"/>
        <v>0</v>
      </c>
    </row>
    <row r="35" spans="1:38" x14ac:dyDescent="0.25">
      <c r="A35" t="s">
        <v>134</v>
      </c>
      <c r="D35">
        <v>14</v>
      </c>
      <c r="E35">
        <v>15</v>
      </c>
      <c r="W35" t="str">
        <f t="shared" si="2"/>
        <v>26A-CAMB-GASKELL</v>
      </c>
      <c r="X35">
        <f t="shared" si="5"/>
        <v>0</v>
      </c>
      <c r="Y35">
        <f t="shared" si="5"/>
        <v>0</v>
      </c>
      <c r="Z35">
        <f t="shared" si="5"/>
        <v>2</v>
      </c>
      <c r="AA35">
        <f t="shared" si="4"/>
        <v>1</v>
      </c>
      <c r="AB35">
        <f t="shared" si="4"/>
        <v>0</v>
      </c>
      <c r="AC35">
        <f t="shared" si="4"/>
        <v>0</v>
      </c>
      <c r="AD35">
        <f t="shared" si="4"/>
        <v>0</v>
      </c>
      <c r="AE35">
        <f t="shared" si="4"/>
        <v>0</v>
      </c>
      <c r="AF35">
        <f t="shared" si="4"/>
        <v>0</v>
      </c>
      <c r="AG35">
        <f t="shared" si="4"/>
        <v>0</v>
      </c>
      <c r="AH35">
        <f t="shared" si="4"/>
        <v>0</v>
      </c>
      <c r="AI35">
        <f t="shared" si="4"/>
        <v>0</v>
      </c>
      <c r="AJ35">
        <f t="shared" si="4"/>
        <v>0</v>
      </c>
      <c r="AK35">
        <f t="shared" si="4"/>
        <v>0</v>
      </c>
      <c r="AL35">
        <f t="shared" si="3"/>
        <v>3</v>
      </c>
    </row>
    <row r="36" spans="1:38" x14ac:dyDescent="0.25">
      <c r="A36" t="s">
        <v>37</v>
      </c>
      <c r="B36">
        <v>4</v>
      </c>
      <c r="W36" t="str">
        <f t="shared" si="2"/>
        <v>27C-HERTS-ULATE</v>
      </c>
      <c r="X36">
        <f t="shared" si="5"/>
        <v>19</v>
      </c>
      <c r="Y36">
        <f t="shared" si="5"/>
        <v>0</v>
      </c>
      <c r="Z36">
        <f t="shared" si="5"/>
        <v>0</v>
      </c>
      <c r="AA36">
        <f t="shared" si="4"/>
        <v>0</v>
      </c>
      <c r="AB36">
        <f t="shared" si="4"/>
        <v>0</v>
      </c>
      <c r="AC36">
        <f t="shared" si="4"/>
        <v>0</v>
      </c>
      <c r="AD36">
        <f t="shared" si="4"/>
        <v>0</v>
      </c>
      <c r="AE36">
        <f t="shared" si="4"/>
        <v>0</v>
      </c>
      <c r="AF36">
        <f t="shared" si="4"/>
        <v>0</v>
      </c>
      <c r="AG36">
        <f t="shared" si="4"/>
        <v>0</v>
      </c>
      <c r="AH36">
        <f t="shared" si="4"/>
        <v>0</v>
      </c>
      <c r="AI36">
        <f t="shared" si="4"/>
        <v>0</v>
      </c>
      <c r="AJ36">
        <f t="shared" si="4"/>
        <v>0</v>
      </c>
      <c r="AK36">
        <f t="shared" si="4"/>
        <v>0</v>
      </c>
      <c r="AL36">
        <f t="shared" si="3"/>
        <v>19</v>
      </c>
    </row>
    <row r="37" spans="1:38" x14ac:dyDescent="0.25">
      <c r="A37" t="s">
        <v>139</v>
      </c>
      <c r="E37">
        <v>17</v>
      </c>
      <c r="W37" t="str">
        <f t="shared" si="2"/>
        <v>27D-HERTS-MCCLUMPHA</v>
      </c>
      <c r="X37">
        <f t="shared" si="5"/>
        <v>0</v>
      </c>
      <c r="Y37">
        <f t="shared" si="5"/>
        <v>0</v>
      </c>
      <c r="Z37">
        <f t="shared" si="5"/>
        <v>0</v>
      </c>
      <c r="AA37">
        <f t="shared" si="4"/>
        <v>0</v>
      </c>
      <c r="AB37">
        <f t="shared" si="4"/>
        <v>0</v>
      </c>
      <c r="AC37">
        <f t="shared" si="4"/>
        <v>0</v>
      </c>
      <c r="AD37">
        <f t="shared" si="4"/>
        <v>0</v>
      </c>
      <c r="AE37">
        <f t="shared" si="4"/>
        <v>0</v>
      </c>
      <c r="AF37">
        <f t="shared" si="4"/>
        <v>0</v>
      </c>
      <c r="AG37">
        <f t="shared" si="4"/>
        <v>0</v>
      </c>
      <c r="AH37">
        <f t="shared" si="4"/>
        <v>0</v>
      </c>
      <c r="AI37">
        <f t="shared" si="4"/>
        <v>0</v>
      </c>
      <c r="AJ37">
        <f t="shared" si="4"/>
        <v>0</v>
      </c>
      <c r="AK37">
        <f t="shared" si="4"/>
        <v>0</v>
      </c>
      <c r="AL37">
        <f t="shared" si="3"/>
        <v>0</v>
      </c>
    </row>
    <row r="38" spans="1:38" x14ac:dyDescent="0.25">
      <c r="A38" t="s">
        <v>143</v>
      </c>
      <c r="D38">
        <v>2</v>
      </c>
      <c r="E38">
        <v>2</v>
      </c>
      <c r="W38" t="str">
        <f t="shared" si="2"/>
        <v>28A-QBEL-KEOWN</v>
      </c>
      <c r="X38">
        <f t="shared" si="5"/>
        <v>0</v>
      </c>
      <c r="Y38">
        <f t="shared" si="5"/>
        <v>0</v>
      </c>
      <c r="Z38">
        <f t="shared" si="5"/>
        <v>22</v>
      </c>
      <c r="AA38">
        <f t="shared" si="4"/>
        <v>23</v>
      </c>
      <c r="AB38">
        <f t="shared" si="4"/>
        <v>0</v>
      </c>
      <c r="AC38">
        <f t="shared" si="4"/>
        <v>0</v>
      </c>
      <c r="AD38">
        <f t="shared" si="4"/>
        <v>0</v>
      </c>
      <c r="AE38">
        <f t="shared" si="4"/>
        <v>0</v>
      </c>
      <c r="AF38">
        <f t="shared" si="4"/>
        <v>0</v>
      </c>
      <c r="AG38">
        <f t="shared" si="4"/>
        <v>0</v>
      </c>
      <c r="AH38">
        <f t="shared" si="4"/>
        <v>0</v>
      </c>
      <c r="AI38">
        <f t="shared" si="4"/>
        <v>0</v>
      </c>
      <c r="AJ38">
        <f t="shared" si="4"/>
        <v>0</v>
      </c>
      <c r="AK38">
        <f t="shared" si="4"/>
        <v>0</v>
      </c>
      <c r="AL38">
        <f t="shared" si="3"/>
        <v>45</v>
      </c>
    </row>
    <row r="39" spans="1:38" x14ac:dyDescent="0.25">
      <c r="A39" t="s">
        <v>153</v>
      </c>
      <c r="B39">
        <v>16</v>
      </c>
      <c r="W39" t="str">
        <f t="shared" si="2"/>
        <v>30A-SBANK-SHARPE</v>
      </c>
      <c r="X39">
        <f t="shared" si="5"/>
        <v>0</v>
      </c>
      <c r="Y39">
        <f t="shared" si="5"/>
        <v>0</v>
      </c>
      <c r="Z39">
        <f t="shared" si="5"/>
        <v>0</v>
      </c>
      <c r="AA39">
        <f t="shared" si="4"/>
        <v>0</v>
      </c>
      <c r="AB39">
        <f t="shared" si="4"/>
        <v>0</v>
      </c>
      <c r="AC39">
        <f t="shared" si="4"/>
        <v>0</v>
      </c>
      <c r="AD39">
        <f t="shared" si="4"/>
        <v>0</v>
      </c>
      <c r="AE39">
        <f t="shared" si="4"/>
        <v>0</v>
      </c>
      <c r="AF39">
        <f t="shared" si="4"/>
        <v>0</v>
      </c>
      <c r="AG39">
        <f t="shared" si="4"/>
        <v>0</v>
      </c>
      <c r="AH39">
        <f t="shared" si="4"/>
        <v>0</v>
      </c>
      <c r="AI39">
        <f t="shared" si="4"/>
        <v>0</v>
      </c>
      <c r="AJ39">
        <f t="shared" si="4"/>
        <v>0</v>
      </c>
      <c r="AK39">
        <f t="shared" si="4"/>
        <v>0</v>
      </c>
      <c r="AL39">
        <f t="shared" si="3"/>
        <v>0</v>
      </c>
    </row>
    <row r="40" spans="1:38" x14ac:dyDescent="0.25">
      <c r="A40" t="s">
        <v>154</v>
      </c>
      <c r="C40">
        <v>19</v>
      </c>
      <c r="W40" t="str">
        <f t="shared" si="2"/>
        <v>30B-SBANK-FERRO</v>
      </c>
      <c r="X40">
        <f t="shared" si="5"/>
        <v>0</v>
      </c>
      <c r="Y40">
        <f t="shared" si="5"/>
        <v>0</v>
      </c>
      <c r="Z40">
        <f t="shared" si="5"/>
        <v>0</v>
      </c>
      <c r="AA40">
        <f t="shared" si="4"/>
        <v>0</v>
      </c>
      <c r="AB40">
        <f t="shared" si="4"/>
        <v>0</v>
      </c>
      <c r="AC40">
        <f t="shared" si="4"/>
        <v>0</v>
      </c>
      <c r="AD40">
        <f t="shared" si="4"/>
        <v>0</v>
      </c>
      <c r="AE40">
        <f t="shared" si="4"/>
        <v>0</v>
      </c>
      <c r="AF40">
        <f t="shared" si="4"/>
        <v>0</v>
      </c>
      <c r="AG40">
        <f t="shared" si="4"/>
        <v>0</v>
      </c>
      <c r="AH40">
        <f t="shared" si="4"/>
        <v>0</v>
      </c>
      <c r="AI40">
        <f t="shared" si="4"/>
        <v>0</v>
      </c>
      <c r="AJ40">
        <f t="shared" si="4"/>
        <v>0</v>
      </c>
      <c r="AK40">
        <f t="shared" si="4"/>
        <v>0</v>
      </c>
      <c r="AL40">
        <f t="shared" si="3"/>
        <v>0</v>
      </c>
    </row>
    <row r="41" spans="1:38" x14ac:dyDescent="0.25">
      <c r="A41" t="s">
        <v>157</v>
      </c>
      <c r="D41">
        <v>4</v>
      </c>
      <c r="W41" t="str">
        <f t="shared" si="2"/>
        <v>31A-UBR-WU</v>
      </c>
      <c r="X41">
        <f t="shared" si="5"/>
        <v>0</v>
      </c>
      <c r="Y41">
        <f t="shared" si="5"/>
        <v>0</v>
      </c>
      <c r="Z41">
        <f t="shared" si="5"/>
        <v>18</v>
      </c>
      <c r="AA41">
        <f t="shared" si="4"/>
        <v>0</v>
      </c>
      <c r="AB41">
        <f t="shared" si="4"/>
        <v>0</v>
      </c>
      <c r="AC41">
        <f t="shared" si="4"/>
        <v>0</v>
      </c>
      <c r="AD41">
        <f t="shared" si="4"/>
        <v>0</v>
      </c>
      <c r="AE41">
        <f t="shared" si="4"/>
        <v>0</v>
      </c>
      <c r="AF41">
        <f t="shared" si="4"/>
        <v>0</v>
      </c>
      <c r="AG41">
        <f t="shared" si="4"/>
        <v>0</v>
      </c>
      <c r="AH41">
        <f t="shared" si="4"/>
        <v>0</v>
      </c>
      <c r="AI41">
        <f t="shared" si="4"/>
        <v>0</v>
      </c>
      <c r="AJ41">
        <f t="shared" si="4"/>
        <v>0</v>
      </c>
      <c r="AK41">
        <f t="shared" si="4"/>
        <v>0</v>
      </c>
      <c r="AL41">
        <f t="shared" si="3"/>
        <v>18</v>
      </c>
    </row>
    <row r="42" spans="1:38" x14ac:dyDescent="0.25">
      <c r="A42" t="s">
        <v>158</v>
      </c>
      <c r="B42">
        <v>6</v>
      </c>
      <c r="E42">
        <v>6</v>
      </c>
      <c r="W42" t="str">
        <f t="shared" si="2"/>
        <v>31B-UBR-WONG</v>
      </c>
      <c r="X42">
        <f t="shared" si="5"/>
        <v>14</v>
      </c>
      <c r="Y42">
        <f t="shared" si="5"/>
        <v>0</v>
      </c>
      <c r="Z42">
        <f t="shared" si="5"/>
        <v>0</v>
      </c>
      <c r="AA42">
        <f t="shared" si="4"/>
        <v>14</v>
      </c>
      <c r="AB42">
        <f t="shared" si="4"/>
        <v>0</v>
      </c>
      <c r="AC42">
        <f t="shared" si="4"/>
        <v>0</v>
      </c>
      <c r="AD42">
        <f t="shared" si="4"/>
        <v>0</v>
      </c>
      <c r="AE42">
        <f t="shared" si="4"/>
        <v>0</v>
      </c>
      <c r="AF42">
        <f t="shared" si="4"/>
        <v>0</v>
      </c>
      <c r="AG42">
        <f t="shared" si="4"/>
        <v>0</v>
      </c>
      <c r="AH42">
        <f t="shared" si="4"/>
        <v>0</v>
      </c>
      <c r="AI42">
        <f t="shared" si="4"/>
        <v>0</v>
      </c>
      <c r="AJ42">
        <f t="shared" si="4"/>
        <v>0</v>
      </c>
      <c r="AK42">
        <f t="shared" si="4"/>
        <v>0</v>
      </c>
      <c r="AL42">
        <f t="shared" si="3"/>
        <v>28</v>
      </c>
    </row>
    <row r="43" spans="1:38" x14ac:dyDescent="0.25">
      <c r="A43" t="s">
        <v>159</v>
      </c>
      <c r="C43">
        <v>17</v>
      </c>
      <c r="W43" t="str">
        <f t="shared" si="2"/>
        <v>31C-UBR-ASARE</v>
      </c>
      <c r="X43">
        <f t="shared" si="5"/>
        <v>0</v>
      </c>
      <c r="Y43">
        <f t="shared" si="5"/>
        <v>0</v>
      </c>
      <c r="Z43">
        <f t="shared" si="5"/>
        <v>0</v>
      </c>
      <c r="AA43">
        <f t="shared" si="4"/>
        <v>0</v>
      </c>
      <c r="AB43">
        <f t="shared" si="4"/>
        <v>0</v>
      </c>
      <c r="AC43">
        <f t="shared" si="4"/>
        <v>0</v>
      </c>
      <c r="AD43">
        <f t="shared" si="4"/>
        <v>0</v>
      </c>
      <c r="AE43">
        <f t="shared" si="4"/>
        <v>0</v>
      </c>
      <c r="AF43">
        <f t="shared" si="4"/>
        <v>0</v>
      </c>
      <c r="AG43">
        <f t="shared" si="4"/>
        <v>0</v>
      </c>
      <c r="AH43">
        <f t="shared" si="4"/>
        <v>0</v>
      </c>
      <c r="AI43">
        <f t="shared" si="4"/>
        <v>0</v>
      </c>
      <c r="AJ43">
        <f t="shared" si="4"/>
        <v>0</v>
      </c>
      <c r="AK43">
        <f t="shared" si="4"/>
        <v>0</v>
      </c>
      <c r="AL43">
        <f t="shared" si="3"/>
        <v>0</v>
      </c>
    </row>
    <row r="44" spans="1:38" x14ac:dyDescent="0.25">
      <c r="A44" t="s">
        <v>171</v>
      </c>
      <c r="C44">
        <v>15</v>
      </c>
      <c r="W44" t="str">
        <f t="shared" si="2"/>
        <v>34A-YORKB-NEATH</v>
      </c>
      <c r="X44">
        <f t="shared" si="5"/>
        <v>0</v>
      </c>
      <c r="Y44">
        <f t="shared" si="5"/>
        <v>1</v>
      </c>
      <c r="Z44">
        <f t="shared" si="5"/>
        <v>0</v>
      </c>
      <c r="AA44">
        <f t="shared" si="4"/>
        <v>0</v>
      </c>
      <c r="AB44">
        <f t="shared" si="4"/>
        <v>0</v>
      </c>
      <c r="AC44">
        <f t="shared" si="4"/>
        <v>0</v>
      </c>
      <c r="AD44">
        <f t="shared" si="4"/>
        <v>0</v>
      </c>
      <c r="AE44">
        <f t="shared" si="4"/>
        <v>0</v>
      </c>
      <c r="AF44">
        <f t="shared" si="4"/>
        <v>0</v>
      </c>
      <c r="AG44">
        <f t="shared" si="4"/>
        <v>0</v>
      </c>
      <c r="AH44">
        <f t="shared" si="4"/>
        <v>0</v>
      </c>
      <c r="AI44">
        <f t="shared" si="4"/>
        <v>0</v>
      </c>
      <c r="AJ44">
        <f t="shared" si="4"/>
        <v>0</v>
      </c>
      <c r="AK44">
        <f t="shared" si="4"/>
        <v>0</v>
      </c>
      <c r="AL44">
        <f t="shared" si="3"/>
        <v>1</v>
      </c>
    </row>
    <row r="45" spans="1:38" x14ac:dyDescent="0.25">
      <c r="A45" t="s">
        <v>173</v>
      </c>
      <c r="B45">
        <v>10</v>
      </c>
      <c r="D45">
        <v>18</v>
      </c>
      <c r="E45">
        <v>14</v>
      </c>
      <c r="W45" t="str">
        <f t="shared" si="2"/>
        <v>34D-YORKB-SHEARD</v>
      </c>
      <c r="X45">
        <f t="shared" si="5"/>
        <v>6</v>
      </c>
      <c r="Y45">
        <f t="shared" si="5"/>
        <v>0</v>
      </c>
      <c r="Z45">
        <f t="shared" si="5"/>
        <v>0</v>
      </c>
      <c r="AA45">
        <f t="shared" si="4"/>
        <v>2</v>
      </c>
      <c r="AB45">
        <f t="shared" si="4"/>
        <v>0</v>
      </c>
      <c r="AC45">
        <f t="shared" si="4"/>
        <v>0</v>
      </c>
      <c r="AD45">
        <f t="shared" si="4"/>
        <v>0</v>
      </c>
      <c r="AE45">
        <f t="shared" si="4"/>
        <v>0</v>
      </c>
      <c r="AF45">
        <f t="shared" si="4"/>
        <v>0</v>
      </c>
      <c r="AG45">
        <f t="shared" si="4"/>
        <v>0</v>
      </c>
      <c r="AH45">
        <f t="shared" si="4"/>
        <v>0</v>
      </c>
      <c r="AI45">
        <f t="shared" si="4"/>
        <v>0</v>
      </c>
      <c r="AJ45">
        <f t="shared" si="4"/>
        <v>0</v>
      </c>
      <c r="AK45">
        <f t="shared" si="4"/>
        <v>0</v>
      </c>
      <c r="AL45">
        <f t="shared" si="3"/>
        <v>8</v>
      </c>
    </row>
    <row r="46" spans="1:38" x14ac:dyDescent="0.25">
      <c r="A46" t="s">
        <v>177</v>
      </c>
      <c r="C46">
        <v>4</v>
      </c>
      <c r="E46">
        <v>4</v>
      </c>
      <c r="W46" t="str">
        <f t="shared" si="2"/>
        <v>36C-MTU-CLOGAN</v>
      </c>
      <c r="X46">
        <f t="shared" si="5"/>
        <v>0</v>
      </c>
      <c r="Y46">
        <f t="shared" si="5"/>
        <v>19</v>
      </c>
      <c r="Z46">
        <f t="shared" si="5"/>
        <v>0</v>
      </c>
      <c r="AA46">
        <f t="shared" si="4"/>
        <v>18</v>
      </c>
      <c r="AB46">
        <f t="shared" si="4"/>
        <v>0</v>
      </c>
      <c r="AC46">
        <f t="shared" ref="AC46:AK77" si="6">_xlfn.IFNA(LOOKUP(G46,$T$6:$T$25,$U$6:$U$25),0)+COUNTIF(G$1:G$3,$W46)</f>
        <v>0</v>
      </c>
      <c r="AD46">
        <f t="shared" si="6"/>
        <v>0</v>
      </c>
      <c r="AE46">
        <f t="shared" si="6"/>
        <v>0</v>
      </c>
      <c r="AF46">
        <f t="shared" si="6"/>
        <v>0</v>
      </c>
      <c r="AG46">
        <f t="shared" si="6"/>
        <v>0</v>
      </c>
      <c r="AH46">
        <f t="shared" si="6"/>
        <v>0</v>
      </c>
      <c r="AI46">
        <f t="shared" si="6"/>
        <v>0</v>
      </c>
      <c r="AJ46">
        <f t="shared" si="6"/>
        <v>0</v>
      </c>
      <c r="AK46">
        <f t="shared" si="6"/>
        <v>0</v>
      </c>
      <c r="AL46">
        <f t="shared" si="3"/>
        <v>37</v>
      </c>
    </row>
    <row r="47" spans="1:38" x14ac:dyDescent="0.25">
      <c r="A47" t="s">
        <v>179</v>
      </c>
      <c r="C47">
        <v>10</v>
      </c>
      <c r="W47" t="str">
        <f t="shared" si="2"/>
        <v>37B-POLYU-LIU</v>
      </c>
      <c r="X47">
        <f t="shared" si="5"/>
        <v>0</v>
      </c>
      <c r="Y47">
        <f t="shared" si="5"/>
        <v>7</v>
      </c>
      <c r="Z47">
        <f t="shared" si="5"/>
        <v>0</v>
      </c>
      <c r="AA47">
        <f t="shared" si="5"/>
        <v>0</v>
      </c>
      <c r="AB47">
        <f t="shared" si="5"/>
        <v>0</v>
      </c>
      <c r="AC47">
        <f t="shared" si="6"/>
        <v>0</v>
      </c>
      <c r="AD47">
        <f t="shared" si="6"/>
        <v>0</v>
      </c>
      <c r="AE47">
        <f t="shared" si="6"/>
        <v>0</v>
      </c>
      <c r="AF47">
        <f t="shared" si="6"/>
        <v>0</v>
      </c>
      <c r="AG47">
        <f t="shared" si="6"/>
        <v>0</v>
      </c>
      <c r="AH47">
        <f t="shared" si="6"/>
        <v>0</v>
      </c>
      <c r="AI47">
        <f t="shared" si="6"/>
        <v>0</v>
      </c>
      <c r="AJ47">
        <f t="shared" si="6"/>
        <v>0</v>
      </c>
      <c r="AK47">
        <f t="shared" si="6"/>
        <v>0</v>
      </c>
      <c r="AL47">
        <f t="shared" si="3"/>
        <v>7</v>
      </c>
    </row>
    <row r="48" spans="1:38" x14ac:dyDescent="0.25">
      <c r="A48" t="s">
        <v>180</v>
      </c>
      <c r="D48">
        <v>13</v>
      </c>
      <c r="W48" t="str">
        <f t="shared" si="2"/>
        <v>37C-POLYU-WONG</v>
      </c>
      <c r="X48">
        <f t="shared" si="5"/>
        <v>0</v>
      </c>
      <c r="Y48">
        <f t="shared" si="5"/>
        <v>0</v>
      </c>
      <c r="Z48">
        <f t="shared" si="5"/>
        <v>3</v>
      </c>
      <c r="AA48">
        <f t="shared" si="5"/>
        <v>0</v>
      </c>
      <c r="AB48">
        <f t="shared" si="5"/>
        <v>0</v>
      </c>
      <c r="AC48">
        <f t="shared" si="6"/>
        <v>0</v>
      </c>
      <c r="AD48">
        <f t="shared" si="6"/>
        <v>0</v>
      </c>
      <c r="AE48">
        <f t="shared" si="6"/>
        <v>0</v>
      </c>
      <c r="AF48">
        <f t="shared" si="6"/>
        <v>0</v>
      </c>
      <c r="AG48">
        <f t="shared" si="6"/>
        <v>0</v>
      </c>
      <c r="AH48">
        <f t="shared" si="6"/>
        <v>0</v>
      </c>
      <c r="AI48">
        <f t="shared" si="6"/>
        <v>0</v>
      </c>
      <c r="AJ48">
        <f t="shared" si="6"/>
        <v>0</v>
      </c>
      <c r="AK48">
        <f t="shared" si="6"/>
        <v>0</v>
      </c>
      <c r="AL48">
        <f t="shared" si="3"/>
        <v>3</v>
      </c>
    </row>
    <row r="49" spans="1:38" x14ac:dyDescent="0.25">
      <c r="A49" t="s">
        <v>185</v>
      </c>
      <c r="C49">
        <v>9</v>
      </c>
      <c r="W49" t="str">
        <f t="shared" si="2"/>
        <v>38B-EXET-ELLIOT</v>
      </c>
      <c r="X49">
        <f t="shared" si="5"/>
        <v>0</v>
      </c>
      <c r="Y49">
        <f t="shared" si="5"/>
        <v>8</v>
      </c>
      <c r="Z49">
        <f t="shared" si="5"/>
        <v>0</v>
      </c>
      <c r="AA49">
        <f t="shared" si="5"/>
        <v>0</v>
      </c>
      <c r="AB49">
        <f t="shared" si="5"/>
        <v>0</v>
      </c>
      <c r="AC49">
        <f t="shared" si="6"/>
        <v>0</v>
      </c>
      <c r="AD49">
        <f t="shared" si="6"/>
        <v>0</v>
      </c>
      <c r="AE49">
        <f t="shared" si="6"/>
        <v>0</v>
      </c>
      <c r="AF49">
        <f t="shared" si="6"/>
        <v>0</v>
      </c>
      <c r="AG49">
        <f t="shared" si="6"/>
        <v>0</v>
      </c>
      <c r="AH49">
        <f t="shared" si="6"/>
        <v>0</v>
      </c>
      <c r="AI49">
        <f t="shared" si="6"/>
        <v>0</v>
      </c>
      <c r="AJ49">
        <f t="shared" si="6"/>
        <v>0</v>
      </c>
      <c r="AK49">
        <f t="shared" si="6"/>
        <v>0</v>
      </c>
      <c r="AL49">
        <f t="shared" si="3"/>
        <v>8</v>
      </c>
    </row>
    <row r="50" spans="1:38" x14ac:dyDescent="0.25">
      <c r="A50" t="s">
        <v>47</v>
      </c>
      <c r="D50">
        <v>1</v>
      </c>
      <c r="W50" t="str">
        <f t="shared" si="2"/>
        <v>40A-VIGO-COSTAS</v>
      </c>
      <c r="X50">
        <f t="shared" si="5"/>
        <v>0</v>
      </c>
      <c r="Y50">
        <f t="shared" si="5"/>
        <v>0</v>
      </c>
      <c r="Z50">
        <f t="shared" si="5"/>
        <v>26</v>
      </c>
      <c r="AA50">
        <f t="shared" si="5"/>
        <v>0</v>
      </c>
      <c r="AB50">
        <f t="shared" si="5"/>
        <v>0</v>
      </c>
      <c r="AC50">
        <f t="shared" si="6"/>
        <v>0</v>
      </c>
      <c r="AD50">
        <f t="shared" si="6"/>
        <v>0</v>
      </c>
      <c r="AE50">
        <f t="shared" si="6"/>
        <v>0</v>
      </c>
      <c r="AF50">
        <f t="shared" si="6"/>
        <v>0</v>
      </c>
      <c r="AG50">
        <f t="shared" si="6"/>
        <v>0</v>
      </c>
      <c r="AH50">
        <f t="shared" si="6"/>
        <v>0</v>
      </c>
      <c r="AI50">
        <f t="shared" si="6"/>
        <v>0</v>
      </c>
      <c r="AJ50">
        <f t="shared" si="6"/>
        <v>0</v>
      </c>
      <c r="AK50">
        <f t="shared" si="6"/>
        <v>0</v>
      </c>
      <c r="AL50">
        <f t="shared" si="3"/>
        <v>26</v>
      </c>
    </row>
    <row r="51" spans="1:38" x14ac:dyDescent="0.25">
      <c r="A51" t="s">
        <v>48</v>
      </c>
      <c r="E51">
        <v>1</v>
      </c>
      <c r="W51" t="str">
        <f t="shared" si="2"/>
        <v>40B-VIGO-VEIRO</v>
      </c>
      <c r="X51">
        <f t="shared" si="5"/>
        <v>0</v>
      </c>
      <c r="Y51">
        <f t="shared" si="5"/>
        <v>0</v>
      </c>
      <c r="Z51">
        <f t="shared" si="5"/>
        <v>0</v>
      </c>
      <c r="AA51">
        <f t="shared" si="5"/>
        <v>25</v>
      </c>
      <c r="AB51">
        <f t="shared" si="5"/>
        <v>0</v>
      </c>
      <c r="AC51">
        <f t="shared" si="6"/>
        <v>0</v>
      </c>
      <c r="AD51">
        <f t="shared" si="6"/>
        <v>0</v>
      </c>
      <c r="AE51">
        <f t="shared" si="6"/>
        <v>0</v>
      </c>
      <c r="AF51">
        <f t="shared" si="6"/>
        <v>0</v>
      </c>
      <c r="AG51">
        <f t="shared" si="6"/>
        <v>0</v>
      </c>
      <c r="AH51">
        <f t="shared" si="6"/>
        <v>0</v>
      </c>
      <c r="AI51">
        <f t="shared" si="6"/>
        <v>0</v>
      </c>
      <c r="AJ51">
        <f t="shared" si="6"/>
        <v>0</v>
      </c>
      <c r="AK51">
        <f t="shared" si="6"/>
        <v>0</v>
      </c>
      <c r="AL51">
        <f t="shared" si="3"/>
        <v>25</v>
      </c>
    </row>
    <row r="52" spans="1:38" x14ac:dyDescent="0.25">
      <c r="A52" t="s">
        <v>372</v>
      </c>
      <c r="D52">
        <v>9</v>
      </c>
      <c r="E52">
        <v>3</v>
      </c>
      <c r="W52" t="str">
        <f t="shared" si="2"/>
        <v>42C-DMU-MCDAVITT</v>
      </c>
      <c r="X52">
        <f t="shared" si="5"/>
        <v>0</v>
      </c>
      <c r="Y52">
        <f t="shared" si="5"/>
        <v>0</v>
      </c>
      <c r="Z52">
        <f t="shared" si="5"/>
        <v>8</v>
      </c>
      <c r="AA52">
        <f t="shared" si="5"/>
        <v>20</v>
      </c>
      <c r="AB52">
        <f t="shared" si="5"/>
        <v>0</v>
      </c>
      <c r="AC52">
        <f t="shared" si="6"/>
        <v>0</v>
      </c>
      <c r="AD52">
        <f t="shared" si="6"/>
        <v>0</v>
      </c>
      <c r="AE52">
        <f t="shared" si="6"/>
        <v>0</v>
      </c>
      <c r="AF52">
        <f t="shared" si="6"/>
        <v>0</v>
      </c>
      <c r="AG52">
        <f t="shared" si="6"/>
        <v>0</v>
      </c>
      <c r="AH52">
        <f t="shared" si="6"/>
        <v>0</v>
      </c>
      <c r="AI52">
        <f t="shared" si="6"/>
        <v>0</v>
      </c>
      <c r="AJ52">
        <f t="shared" si="6"/>
        <v>0</v>
      </c>
      <c r="AK52">
        <f t="shared" si="6"/>
        <v>0</v>
      </c>
      <c r="AL52">
        <f t="shared" si="3"/>
        <v>28</v>
      </c>
    </row>
    <row r="53" spans="1:38" x14ac:dyDescent="0.25">
      <c r="A53" t="s">
        <v>205</v>
      </c>
      <c r="B53">
        <v>17</v>
      </c>
      <c r="W53" t="str">
        <f t="shared" si="2"/>
        <v>44A-NTU-RUSSEL-THOMPSON</v>
      </c>
      <c r="X53">
        <f t="shared" si="5"/>
        <v>0</v>
      </c>
      <c r="Y53">
        <f t="shared" si="5"/>
        <v>0</v>
      </c>
      <c r="Z53">
        <f t="shared" si="5"/>
        <v>0</v>
      </c>
      <c r="AA53">
        <f t="shared" si="5"/>
        <v>0</v>
      </c>
      <c r="AB53">
        <f t="shared" si="5"/>
        <v>0</v>
      </c>
      <c r="AC53">
        <f t="shared" si="6"/>
        <v>0</v>
      </c>
      <c r="AD53">
        <f t="shared" si="6"/>
        <v>0</v>
      </c>
      <c r="AE53">
        <f t="shared" si="6"/>
        <v>0</v>
      </c>
      <c r="AF53">
        <f t="shared" si="6"/>
        <v>0</v>
      </c>
      <c r="AG53">
        <f t="shared" si="6"/>
        <v>0</v>
      </c>
      <c r="AH53">
        <f t="shared" si="6"/>
        <v>0</v>
      </c>
      <c r="AI53">
        <f t="shared" si="6"/>
        <v>0</v>
      </c>
      <c r="AJ53">
        <f t="shared" si="6"/>
        <v>0</v>
      </c>
      <c r="AK53">
        <f t="shared" si="6"/>
        <v>0</v>
      </c>
      <c r="AL53">
        <f t="shared" si="3"/>
        <v>0</v>
      </c>
    </row>
    <row r="54" spans="1:38" x14ac:dyDescent="0.25">
      <c r="A54" t="s">
        <v>206</v>
      </c>
      <c r="C54">
        <v>13</v>
      </c>
      <c r="E54">
        <v>8</v>
      </c>
      <c r="W54" t="str">
        <f t="shared" si="2"/>
        <v>44B-NTU-KUHLMANN</v>
      </c>
      <c r="X54">
        <f t="shared" si="5"/>
        <v>0</v>
      </c>
      <c r="Y54">
        <f t="shared" si="5"/>
        <v>3</v>
      </c>
      <c r="Z54">
        <f t="shared" si="5"/>
        <v>0</v>
      </c>
      <c r="AA54">
        <f t="shared" si="5"/>
        <v>10</v>
      </c>
      <c r="AB54">
        <f t="shared" si="5"/>
        <v>0</v>
      </c>
      <c r="AC54">
        <f t="shared" si="6"/>
        <v>0</v>
      </c>
      <c r="AD54">
        <f t="shared" si="6"/>
        <v>0</v>
      </c>
      <c r="AE54">
        <f t="shared" si="6"/>
        <v>0</v>
      </c>
      <c r="AF54">
        <f t="shared" si="6"/>
        <v>0</v>
      </c>
      <c r="AG54">
        <f t="shared" si="6"/>
        <v>0</v>
      </c>
      <c r="AH54">
        <f t="shared" si="6"/>
        <v>0</v>
      </c>
      <c r="AI54">
        <f t="shared" si="6"/>
        <v>0</v>
      </c>
      <c r="AJ54">
        <f t="shared" si="6"/>
        <v>0</v>
      </c>
      <c r="AK54">
        <f t="shared" si="6"/>
        <v>0</v>
      </c>
      <c r="AL54">
        <f t="shared" si="3"/>
        <v>13</v>
      </c>
    </row>
    <row r="55" spans="1:38" x14ac:dyDescent="0.25">
      <c r="A55" t="s">
        <v>207</v>
      </c>
      <c r="D55">
        <v>16</v>
      </c>
      <c r="W55" t="str">
        <f t="shared" si="2"/>
        <v>44C-NTU-HEARD</v>
      </c>
      <c r="X55">
        <f t="shared" si="5"/>
        <v>0</v>
      </c>
      <c r="Y55">
        <f t="shared" si="5"/>
        <v>0</v>
      </c>
      <c r="Z55">
        <f t="shared" si="5"/>
        <v>0</v>
      </c>
      <c r="AA55">
        <f t="shared" si="5"/>
        <v>0</v>
      </c>
      <c r="AB55">
        <f t="shared" si="5"/>
        <v>0</v>
      </c>
      <c r="AC55">
        <f t="shared" si="6"/>
        <v>0</v>
      </c>
      <c r="AD55">
        <f t="shared" si="6"/>
        <v>0</v>
      </c>
      <c r="AE55">
        <f t="shared" si="6"/>
        <v>0</v>
      </c>
      <c r="AF55">
        <f t="shared" si="6"/>
        <v>0</v>
      </c>
      <c r="AG55">
        <f t="shared" si="6"/>
        <v>0</v>
      </c>
      <c r="AH55">
        <f t="shared" si="6"/>
        <v>0</v>
      </c>
      <c r="AI55">
        <f t="shared" si="6"/>
        <v>0</v>
      </c>
      <c r="AJ55">
        <f t="shared" si="6"/>
        <v>0</v>
      </c>
      <c r="AK55">
        <f t="shared" si="6"/>
        <v>0</v>
      </c>
      <c r="AL55">
        <f t="shared" si="3"/>
        <v>0</v>
      </c>
    </row>
    <row r="56" spans="1:38" x14ac:dyDescent="0.25">
      <c r="A56" t="s">
        <v>210</v>
      </c>
      <c r="D56">
        <v>11</v>
      </c>
      <c r="E56">
        <v>9</v>
      </c>
      <c r="W56" t="str">
        <f t="shared" si="2"/>
        <v>45B-UGRB-BLAIR</v>
      </c>
      <c r="X56">
        <f t="shared" ref="X56:AE87" si="7">_xlfn.IFNA(LOOKUP(B56,$T$6:$T$25,$U$6:$U$25),0)+COUNTIF(B$1:B$3,$W56)</f>
        <v>0</v>
      </c>
      <c r="Y56">
        <f t="shared" si="7"/>
        <v>0</v>
      </c>
      <c r="Z56">
        <f t="shared" si="7"/>
        <v>5</v>
      </c>
      <c r="AA56">
        <f t="shared" si="7"/>
        <v>8</v>
      </c>
      <c r="AB56">
        <f t="shared" si="7"/>
        <v>0</v>
      </c>
      <c r="AC56">
        <f t="shared" si="6"/>
        <v>0</v>
      </c>
      <c r="AD56">
        <f t="shared" si="6"/>
        <v>0</v>
      </c>
      <c r="AE56">
        <f t="shared" si="6"/>
        <v>0</v>
      </c>
      <c r="AF56">
        <f t="shared" si="6"/>
        <v>0</v>
      </c>
      <c r="AG56">
        <f t="shared" si="6"/>
        <v>0</v>
      </c>
      <c r="AH56">
        <f t="shared" si="6"/>
        <v>0</v>
      </c>
      <c r="AI56">
        <f t="shared" si="6"/>
        <v>0</v>
      </c>
      <c r="AJ56">
        <f t="shared" si="6"/>
        <v>0</v>
      </c>
      <c r="AK56">
        <f t="shared" si="6"/>
        <v>0</v>
      </c>
      <c r="AL56">
        <f t="shared" si="3"/>
        <v>13</v>
      </c>
    </row>
    <row r="57" spans="1:38" x14ac:dyDescent="0.25">
      <c r="A57" t="s">
        <v>20</v>
      </c>
      <c r="B57">
        <v>18</v>
      </c>
      <c r="W57" t="str">
        <f t="shared" si="2"/>
        <v>50A-LJMU-MELLIAR-SMITH</v>
      </c>
      <c r="X57">
        <f t="shared" si="7"/>
        <v>0</v>
      </c>
      <c r="Y57">
        <f t="shared" si="7"/>
        <v>0</v>
      </c>
      <c r="Z57">
        <f t="shared" si="7"/>
        <v>0</v>
      </c>
      <c r="AA57">
        <f t="shared" si="7"/>
        <v>0</v>
      </c>
      <c r="AB57">
        <f t="shared" si="7"/>
        <v>0</v>
      </c>
      <c r="AC57">
        <f t="shared" si="6"/>
        <v>0</v>
      </c>
      <c r="AD57">
        <f t="shared" si="6"/>
        <v>0</v>
      </c>
      <c r="AE57">
        <f t="shared" si="6"/>
        <v>0</v>
      </c>
      <c r="AF57">
        <f t="shared" si="6"/>
        <v>0</v>
      </c>
      <c r="AG57">
        <f t="shared" si="6"/>
        <v>0</v>
      </c>
      <c r="AH57">
        <f t="shared" si="6"/>
        <v>0</v>
      </c>
      <c r="AI57">
        <f t="shared" si="6"/>
        <v>0</v>
      </c>
      <c r="AJ57">
        <f t="shared" si="6"/>
        <v>0</v>
      </c>
      <c r="AK57">
        <f t="shared" si="6"/>
        <v>0</v>
      </c>
      <c r="AL57">
        <f t="shared" si="3"/>
        <v>0</v>
      </c>
    </row>
    <row r="58" spans="1:38" x14ac:dyDescent="0.25">
      <c r="A58" t="s">
        <v>237</v>
      </c>
      <c r="B58">
        <v>14</v>
      </c>
      <c r="D58">
        <v>7</v>
      </c>
      <c r="W58" t="str">
        <f t="shared" si="2"/>
        <v>51C-QMFS-SERT</v>
      </c>
      <c r="X58">
        <f t="shared" si="7"/>
        <v>2</v>
      </c>
      <c r="Y58">
        <f t="shared" si="7"/>
        <v>0</v>
      </c>
      <c r="Z58">
        <f t="shared" si="7"/>
        <v>12</v>
      </c>
      <c r="AA58">
        <f t="shared" si="7"/>
        <v>0</v>
      </c>
      <c r="AB58">
        <f t="shared" si="7"/>
        <v>0</v>
      </c>
      <c r="AC58">
        <f t="shared" si="6"/>
        <v>0</v>
      </c>
      <c r="AD58">
        <f t="shared" si="6"/>
        <v>0</v>
      </c>
      <c r="AE58">
        <f t="shared" si="6"/>
        <v>0</v>
      </c>
      <c r="AF58">
        <f t="shared" si="6"/>
        <v>0</v>
      </c>
      <c r="AG58">
        <f t="shared" si="6"/>
        <v>0</v>
      </c>
      <c r="AH58">
        <f t="shared" si="6"/>
        <v>0</v>
      </c>
      <c r="AI58">
        <f t="shared" si="6"/>
        <v>0</v>
      </c>
      <c r="AJ58">
        <f t="shared" si="6"/>
        <v>0</v>
      </c>
      <c r="AK58">
        <f t="shared" si="6"/>
        <v>0</v>
      </c>
      <c r="AL58">
        <f t="shared" si="3"/>
        <v>14</v>
      </c>
    </row>
    <row r="59" spans="1:38" x14ac:dyDescent="0.25">
      <c r="A59" t="s">
        <v>242</v>
      </c>
      <c r="D59">
        <v>20</v>
      </c>
      <c r="E59">
        <v>16</v>
      </c>
      <c r="W59" t="str">
        <f t="shared" si="2"/>
        <v>52B-HKU-KA</v>
      </c>
      <c r="X59">
        <f t="shared" si="7"/>
        <v>0</v>
      </c>
      <c r="Y59">
        <f t="shared" si="7"/>
        <v>0</v>
      </c>
      <c r="Z59">
        <f t="shared" si="7"/>
        <v>0</v>
      </c>
      <c r="AA59">
        <f t="shared" si="7"/>
        <v>0</v>
      </c>
      <c r="AB59">
        <f t="shared" si="7"/>
        <v>0</v>
      </c>
      <c r="AC59">
        <f t="shared" si="6"/>
        <v>0</v>
      </c>
      <c r="AD59">
        <f t="shared" si="6"/>
        <v>0</v>
      </c>
      <c r="AE59">
        <f t="shared" si="6"/>
        <v>0</v>
      </c>
      <c r="AF59">
        <f t="shared" si="6"/>
        <v>0</v>
      </c>
      <c r="AG59">
        <f t="shared" si="6"/>
        <v>0</v>
      </c>
      <c r="AH59">
        <f t="shared" si="6"/>
        <v>0</v>
      </c>
      <c r="AI59">
        <f t="shared" si="6"/>
        <v>0</v>
      </c>
      <c r="AJ59">
        <f t="shared" si="6"/>
        <v>0</v>
      </c>
      <c r="AK59">
        <f t="shared" si="6"/>
        <v>0</v>
      </c>
      <c r="AL59">
        <f t="shared" si="3"/>
        <v>0</v>
      </c>
    </row>
    <row r="60" spans="1:38" x14ac:dyDescent="0.25">
      <c r="A60" t="s">
        <v>250</v>
      </c>
      <c r="C60">
        <v>12</v>
      </c>
      <c r="W60" t="str">
        <f t="shared" si="2"/>
        <v>53D-PROT-CZAPP</v>
      </c>
      <c r="X60">
        <f t="shared" si="7"/>
        <v>0</v>
      </c>
      <c r="Y60">
        <f t="shared" si="7"/>
        <v>4</v>
      </c>
      <c r="Z60">
        <f t="shared" si="7"/>
        <v>0</v>
      </c>
      <c r="AA60">
        <f t="shared" si="7"/>
        <v>0</v>
      </c>
      <c r="AB60">
        <f t="shared" si="7"/>
        <v>0</v>
      </c>
      <c r="AC60">
        <f t="shared" si="6"/>
        <v>0</v>
      </c>
      <c r="AD60">
        <f t="shared" si="6"/>
        <v>0</v>
      </c>
      <c r="AE60">
        <f t="shared" si="6"/>
        <v>0</v>
      </c>
      <c r="AF60">
        <f t="shared" si="6"/>
        <v>0</v>
      </c>
      <c r="AG60">
        <f t="shared" si="6"/>
        <v>0</v>
      </c>
      <c r="AH60">
        <f t="shared" si="6"/>
        <v>0</v>
      </c>
      <c r="AI60">
        <f t="shared" si="6"/>
        <v>0</v>
      </c>
      <c r="AJ60">
        <f t="shared" si="6"/>
        <v>0</v>
      </c>
      <c r="AK60">
        <f t="shared" si="6"/>
        <v>0</v>
      </c>
      <c r="AL60">
        <f t="shared" si="3"/>
        <v>4</v>
      </c>
    </row>
    <row r="61" spans="1:38" x14ac:dyDescent="0.25">
      <c r="W61">
        <f t="shared" si="2"/>
        <v>0</v>
      </c>
      <c r="X61">
        <f t="shared" si="7"/>
        <v>0</v>
      </c>
      <c r="Y61">
        <f t="shared" si="7"/>
        <v>0</v>
      </c>
      <c r="Z61">
        <f t="shared" si="7"/>
        <v>0</v>
      </c>
      <c r="AA61">
        <f t="shared" si="7"/>
        <v>0</v>
      </c>
      <c r="AB61">
        <f t="shared" si="7"/>
        <v>0</v>
      </c>
      <c r="AC61">
        <f t="shared" si="6"/>
        <v>0</v>
      </c>
      <c r="AD61">
        <f t="shared" si="6"/>
        <v>0</v>
      </c>
      <c r="AE61">
        <f t="shared" si="6"/>
        <v>0</v>
      </c>
      <c r="AF61">
        <f t="shared" si="6"/>
        <v>0</v>
      </c>
      <c r="AG61">
        <f t="shared" si="6"/>
        <v>0</v>
      </c>
      <c r="AH61">
        <f t="shared" si="6"/>
        <v>0</v>
      </c>
      <c r="AI61">
        <f t="shared" si="6"/>
        <v>0</v>
      </c>
      <c r="AJ61">
        <f t="shared" si="6"/>
        <v>0</v>
      </c>
      <c r="AK61">
        <f t="shared" si="6"/>
        <v>0</v>
      </c>
      <c r="AL61">
        <f t="shared" si="3"/>
        <v>0</v>
      </c>
    </row>
    <row r="62" spans="1:38" x14ac:dyDescent="0.25">
      <c r="W62">
        <f t="shared" si="2"/>
        <v>0</v>
      </c>
      <c r="X62">
        <f t="shared" si="7"/>
        <v>0</v>
      </c>
      <c r="Y62">
        <f t="shared" si="7"/>
        <v>0</v>
      </c>
      <c r="Z62">
        <f t="shared" si="7"/>
        <v>0</v>
      </c>
      <c r="AA62">
        <f t="shared" si="7"/>
        <v>0</v>
      </c>
      <c r="AB62">
        <f t="shared" si="7"/>
        <v>0</v>
      </c>
      <c r="AC62">
        <f t="shared" si="6"/>
        <v>0</v>
      </c>
      <c r="AD62">
        <f t="shared" si="6"/>
        <v>0</v>
      </c>
      <c r="AE62">
        <f t="shared" si="6"/>
        <v>0</v>
      </c>
      <c r="AF62">
        <f t="shared" si="6"/>
        <v>0</v>
      </c>
      <c r="AG62">
        <f t="shared" si="6"/>
        <v>0</v>
      </c>
      <c r="AH62">
        <f t="shared" si="6"/>
        <v>0</v>
      </c>
      <c r="AI62">
        <f t="shared" si="6"/>
        <v>0</v>
      </c>
      <c r="AJ62">
        <f t="shared" si="6"/>
        <v>0</v>
      </c>
      <c r="AK62">
        <f t="shared" si="6"/>
        <v>0</v>
      </c>
      <c r="AL62">
        <f t="shared" si="3"/>
        <v>0</v>
      </c>
    </row>
    <row r="63" spans="1:38" x14ac:dyDescent="0.25">
      <c r="W63">
        <f t="shared" si="2"/>
        <v>0</v>
      </c>
      <c r="X63">
        <f t="shared" si="7"/>
        <v>0</v>
      </c>
      <c r="Y63">
        <f t="shared" si="7"/>
        <v>0</v>
      </c>
      <c r="Z63">
        <f t="shared" si="7"/>
        <v>0</v>
      </c>
      <c r="AA63">
        <f t="shared" si="7"/>
        <v>0</v>
      </c>
      <c r="AB63">
        <f t="shared" si="7"/>
        <v>0</v>
      </c>
      <c r="AC63">
        <f t="shared" si="6"/>
        <v>0</v>
      </c>
      <c r="AD63">
        <f t="shared" si="6"/>
        <v>0</v>
      </c>
      <c r="AE63">
        <f t="shared" si="6"/>
        <v>0</v>
      </c>
      <c r="AF63">
        <f t="shared" si="6"/>
        <v>0</v>
      </c>
      <c r="AG63">
        <f t="shared" si="6"/>
        <v>0</v>
      </c>
      <c r="AH63">
        <f t="shared" si="6"/>
        <v>0</v>
      </c>
      <c r="AI63">
        <f t="shared" si="6"/>
        <v>0</v>
      </c>
      <c r="AJ63">
        <f t="shared" si="6"/>
        <v>0</v>
      </c>
      <c r="AK63">
        <f t="shared" si="6"/>
        <v>0</v>
      </c>
      <c r="AL63">
        <f t="shared" si="3"/>
        <v>0</v>
      </c>
    </row>
    <row r="64" spans="1:38" x14ac:dyDescent="0.25">
      <c r="W64">
        <f t="shared" si="2"/>
        <v>0</v>
      </c>
      <c r="X64">
        <f t="shared" si="7"/>
        <v>0</v>
      </c>
      <c r="Y64">
        <f t="shared" si="7"/>
        <v>0</v>
      </c>
      <c r="Z64">
        <f t="shared" si="7"/>
        <v>0</v>
      </c>
      <c r="AA64">
        <f t="shared" si="7"/>
        <v>0</v>
      </c>
      <c r="AB64">
        <f t="shared" si="7"/>
        <v>0</v>
      </c>
      <c r="AC64">
        <f t="shared" si="6"/>
        <v>0</v>
      </c>
      <c r="AD64">
        <f t="shared" si="6"/>
        <v>0</v>
      </c>
      <c r="AE64">
        <f t="shared" si="6"/>
        <v>0</v>
      </c>
      <c r="AF64">
        <f t="shared" si="6"/>
        <v>0</v>
      </c>
      <c r="AG64">
        <f t="shared" si="6"/>
        <v>0</v>
      </c>
      <c r="AH64">
        <f t="shared" si="6"/>
        <v>0</v>
      </c>
      <c r="AI64">
        <f t="shared" si="6"/>
        <v>0</v>
      </c>
      <c r="AJ64">
        <f t="shared" si="6"/>
        <v>0</v>
      </c>
      <c r="AK64">
        <f t="shared" si="6"/>
        <v>0</v>
      </c>
      <c r="AL64">
        <f t="shared" si="3"/>
        <v>0</v>
      </c>
    </row>
    <row r="65" spans="23:38" x14ac:dyDescent="0.25">
      <c r="W65">
        <f t="shared" si="2"/>
        <v>0</v>
      </c>
      <c r="X65">
        <f t="shared" si="7"/>
        <v>0</v>
      </c>
      <c r="Y65">
        <f t="shared" si="7"/>
        <v>0</v>
      </c>
      <c r="Z65">
        <f t="shared" si="7"/>
        <v>0</v>
      </c>
      <c r="AA65">
        <f t="shared" si="7"/>
        <v>0</v>
      </c>
      <c r="AB65">
        <f t="shared" si="7"/>
        <v>0</v>
      </c>
      <c r="AC65">
        <f t="shared" si="6"/>
        <v>0</v>
      </c>
      <c r="AD65">
        <f t="shared" si="6"/>
        <v>0</v>
      </c>
      <c r="AE65">
        <f t="shared" si="6"/>
        <v>0</v>
      </c>
      <c r="AF65">
        <f t="shared" si="6"/>
        <v>0</v>
      </c>
      <c r="AG65">
        <f t="shared" si="6"/>
        <v>0</v>
      </c>
      <c r="AH65">
        <f t="shared" si="6"/>
        <v>0</v>
      </c>
      <c r="AI65">
        <f t="shared" si="6"/>
        <v>0</v>
      </c>
      <c r="AJ65">
        <f t="shared" si="6"/>
        <v>0</v>
      </c>
      <c r="AK65">
        <f t="shared" si="6"/>
        <v>0</v>
      </c>
      <c r="AL65">
        <f t="shared" si="3"/>
        <v>0</v>
      </c>
    </row>
    <row r="66" spans="23:38" x14ac:dyDescent="0.25">
      <c r="W66">
        <f t="shared" si="2"/>
        <v>0</v>
      </c>
      <c r="X66">
        <f t="shared" si="7"/>
        <v>0</v>
      </c>
      <c r="Y66">
        <f t="shared" si="7"/>
        <v>0</v>
      </c>
      <c r="Z66">
        <f t="shared" si="7"/>
        <v>0</v>
      </c>
      <c r="AA66">
        <f t="shared" si="7"/>
        <v>0</v>
      </c>
      <c r="AB66">
        <f t="shared" si="7"/>
        <v>0</v>
      </c>
      <c r="AC66">
        <f t="shared" si="6"/>
        <v>0</v>
      </c>
      <c r="AD66">
        <f t="shared" si="6"/>
        <v>0</v>
      </c>
      <c r="AE66">
        <f t="shared" si="6"/>
        <v>0</v>
      </c>
      <c r="AF66">
        <f t="shared" si="6"/>
        <v>0</v>
      </c>
      <c r="AG66">
        <f t="shared" si="6"/>
        <v>0</v>
      </c>
      <c r="AH66">
        <f t="shared" si="6"/>
        <v>0</v>
      </c>
      <c r="AI66">
        <f t="shared" si="6"/>
        <v>0</v>
      </c>
      <c r="AJ66">
        <f t="shared" si="6"/>
        <v>0</v>
      </c>
      <c r="AK66">
        <f t="shared" si="6"/>
        <v>0</v>
      </c>
      <c r="AL66">
        <f t="shared" si="3"/>
        <v>0</v>
      </c>
    </row>
    <row r="67" spans="23:38" x14ac:dyDescent="0.25">
      <c r="W67">
        <f t="shared" si="2"/>
        <v>0</v>
      </c>
      <c r="X67">
        <f t="shared" si="7"/>
        <v>0</v>
      </c>
      <c r="Y67">
        <f t="shared" si="7"/>
        <v>0</v>
      </c>
      <c r="Z67">
        <f t="shared" si="7"/>
        <v>0</v>
      </c>
      <c r="AA67">
        <f t="shared" si="7"/>
        <v>0</v>
      </c>
      <c r="AB67">
        <f t="shared" si="7"/>
        <v>0</v>
      </c>
      <c r="AC67">
        <f t="shared" si="6"/>
        <v>0</v>
      </c>
      <c r="AD67">
        <f t="shared" si="6"/>
        <v>0</v>
      </c>
      <c r="AE67">
        <f t="shared" si="6"/>
        <v>0</v>
      </c>
      <c r="AF67">
        <f t="shared" si="6"/>
        <v>0</v>
      </c>
      <c r="AG67">
        <f t="shared" si="6"/>
        <v>0</v>
      </c>
      <c r="AH67">
        <f t="shared" si="6"/>
        <v>0</v>
      </c>
      <c r="AI67">
        <f t="shared" si="6"/>
        <v>0</v>
      </c>
      <c r="AJ67">
        <f t="shared" si="6"/>
        <v>0</v>
      </c>
      <c r="AK67">
        <f t="shared" si="6"/>
        <v>0</v>
      </c>
      <c r="AL67">
        <f t="shared" si="3"/>
        <v>0</v>
      </c>
    </row>
    <row r="68" spans="23:38" x14ac:dyDescent="0.25">
      <c r="W68">
        <f t="shared" si="2"/>
        <v>0</v>
      </c>
      <c r="X68">
        <f t="shared" si="7"/>
        <v>0</v>
      </c>
      <c r="Y68">
        <f t="shared" si="7"/>
        <v>0</v>
      </c>
      <c r="Z68">
        <f t="shared" si="7"/>
        <v>0</v>
      </c>
      <c r="AA68">
        <f t="shared" si="7"/>
        <v>0</v>
      </c>
      <c r="AB68">
        <f t="shared" si="7"/>
        <v>0</v>
      </c>
      <c r="AC68">
        <f t="shared" si="6"/>
        <v>0</v>
      </c>
      <c r="AD68">
        <f t="shared" si="6"/>
        <v>0</v>
      </c>
      <c r="AE68">
        <f t="shared" si="6"/>
        <v>0</v>
      </c>
      <c r="AF68">
        <f t="shared" si="6"/>
        <v>0</v>
      </c>
      <c r="AG68">
        <f t="shared" si="6"/>
        <v>0</v>
      </c>
      <c r="AH68">
        <f t="shared" si="6"/>
        <v>0</v>
      </c>
      <c r="AI68">
        <f t="shared" si="6"/>
        <v>0</v>
      </c>
      <c r="AJ68">
        <f t="shared" si="6"/>
        <v>0</v>
      </c>
      <c r="AK68">
        <f t="shared" si="6"/>
        <v>0</v>
      </c>
      <c r="AL68">
        <f t="shared" si="3"/>
        <v>0</v>
      </c>
    </row>
    <row r="69" spans="23:38" x14ac:dyDescent="0.25">
      <c r="W69">
        <f t="shared" si="2"/>
        <v>0</v>
      </c>
      <c r="X69">
        <f t="shared" si="7"/>
        <v>0</v>
      </c>
      <c r="Y69">
        <f t="shared" si="7"/>
        <v>0</v>
      </c>
      <c r="Z69">
        <f t="shared" si="7"/>
        <v>0</v>
      </c>
      <c r="AA69">
        <f t="shared" si="7"/>
        <v>0</v>
      </c>
      <c r="AB69">
        <f t="shared" si="7"/>
        <v>0</v>
      </c>
      <c r="AC69">
        <f t="shared" si="6"/>
        <v>0</v>
      </c>
      <c r="AD69">
        <f t="shared" si="6"/>
        <v>0</v>
      </c>
      <c r="AE69">
        <f t="shared" si="6"/>
        <v>0</v>
      </c>
      <c r="AF69">
        <f t="shared" si="6"/>
        <v>0</v>
      </c>
      <c r="AG69">
        <f t="shared" si="6"/>
        <v>0</v>
      </c>
      <c r="AH69">
        <f t="shared" si="6"/>
        <v>0</v>
      </c>
      <c r="AI69">
        <f t="shared" si="6"/>
        <v>0</v>
      </c>
      <c r="AJ69">
        <f t="shared" si="6"/>
        <v>0</v>
      </c>
      <c r="AK69">
        <f t="shared" si="6"/>
        <v>0</v>
      </c>
      <c r="AL69">
        <f t="shared" ref="AL69:AL132" si="8">SUM(X69:AK69)</f>
        <v>0</v>
      </c>
    </row>
    <row r="70" spans="23:38" x14ac:dyDescent="0.25">
      <c r="W70">
        <f t="shared" ref="W70:W133" si="9">A70</f>
        <v>0</v>
      </c>
      <c r="X70">
        <f t="shared" si="7"/>
        <v>0</v>
      </c>
      <c r="Y70">
        <f t="shared" si="7"/>
        <v>0</v>
      </c>
      <c r="Z70">
        <f t="shared" si="7"/>
        <v>0</v>
      </c>
      <c r="AA70">
        <f t="shared" si="7"/>
        <v>0</v>
      </c>
      <c r="AB70">
        <f t="shared" si="7"/>
        <v>0</v>
      </c>
      <c r="AC70">
        <f t="shared" si="6"/>
        <v>0</v>
      </c>
      <c r="AD70">
        <f t="shared" si="6"/>
        <v>0</v>
      </c>
      <c r="AE70">
        <f t="shared" si="6"/>
        <v>0</v>
      </c>
      <c r="AF70">
        <f t="shared" si="6"/>
        <v>0</v>
      </c>
      <c r="AG70">
        <f t="shared" si="6"/>
        <v>0</v>
      </c>
      <c r="AH70">
        <f t="shared" si="6"/>
        <v>0</v>
      </c>
      <c r="AI70">
        <f t="shared" si="6"/>
        <v>0</v>
      </c>
      <c r="AJ70">
        <f t="shared" si="6"/>
        <v>0</v>
      </c>
      <c r="AK70">
        <f t="shared" si="6"/>
        <v>0</v>
      </c>
      <c r="AL70">
        <f t="shared" si="8"/>
        <v>0</v>
      </c>
    </row>
    <row r="71" spans="23:38" x14ac:dyDescent="0.25">
      <c r="W71">
        <f t="shared" si="9"/>
        <v>0</v>
      </c>
      <c r="X71">
        <f t="shared" si="7"/>
        <v>0</v>
      </c>
      <c r="Y71">
        <f t="shared" si="7"/>
        <v>0</v>
      </c>
      <c r="Z71">
        <f t="shared" si="7"/>
        <v>0</v>
      </c>
      <c r="AA71">
        <f t="shared" si="7"/>
        <v>0</v>
      </c>
      <c r="AB71">
        <f t="shared" si="7"/>
        <v>0</v>
      </c>
      <c r="AC71">
        <f t="shared" si="6"/>
        <v>0</v>
      </c>
      <c r="AD71">
        <f t="shared" si="6"/>
        <v>0</v>
      </c>
      <c r="AE71">
        <f t="shared" si="6"/>
        <v>0</v>
      </c>
      <c r="AF71">
        <f t="shared" si="6"/>
        <v>0</v>
      </c>
      <c r="AG71">
        <f t="shared" si="6"/>
        <v>0</v>
      </c>
      <c r="AH71">
        <f t="shared" si="6"/>
        <v>0</v>
      </c>
      <c r="AI71">
        <f t="shared" si="6"/>
        <v>0</v>
      </c>
      <c r="AJ71">
        <f t="shared" si="6"/>
        <v>0</v>
      </c>
      <c r="AK71">
        <f t="shared" si="6"/>
        <v>0</v>
      </c>
      <c r="AL71">
        <f t="shared" si="8"/>
        <v>0</v>
      </c>
    </row>
    <row r="72" spans="23:38" x14ac:dyDescent="0.25">
      <c r="W72">
        <f t="shared" si="9"/>
        <v>0</v>
      </c>
      <c r="X72">
        <f t="shared" si="7"/>
        <v>0</v>
      </c>
      <c r="Y72">
        <f t="shared" si="7"/>
        <v>0</v>
      </c>
      <c r="Z72">
        <f t="shared" si="7"/>
        <v>0</v>
      </c>
      <c r="AA72">
        <f t="shared" si="7"/>
        <v>0</v>
      </c>
      <c r="AB72">
        <f t="shared" si="7"/>
        <v>0</v>
      </c>
      <c r="AC72">
        <f t="shared" si="6"/>
        <v>0</v>
      </c>
      <c r="AD72">
        <f t="shared" si="6"/>
        <v>0</v>
      </c>
      <c r="AE72">
        <f t="shared" si="6"/>
        <v>0</v>
      </c>
      <c r="AF72">
        <f t="shared" si="6"/>
        <v>0</v>
      </c>
      <c r="AG72">
        <f t="shared" si="6"/>
        <v>0</v>
      </c>
      <c r="AH72">
        <f t="shared" si="6"/>
        <v>0</v>
      </c>
      <c r="AI72">
        <f t="shared" si="6"/>
        <v>0</v>
      </c>
      <c r="AJ72">
        <f t="shared" si="6"/>
        <v>0</v>
      </c>
      <c r="AK72">
        <f t="shared" si="6"/>
        <v>0</v>
      </c>
      <c r="AL72">
        <f t="shared" si="8"/>
        <v>0</v>
      </c>
    </row>
    <row r="73" spans="23:38" x14ac:dyDescent="0.25">
      <c r="W73">
        <f t="shared" si="9"/>
        <v>0</v>
      </c>
      <c r="X73">
        <f t="shared" si="7"/>
        <v>0</v>
      </c>
      <c r="Y73">
        <f t="shared" si="7"/>
        <v>0</v>
      </c>
      <c r="Z73">
        <f t="shared" si="7"/>
        <v>0</v>
      </c>
      <c r="AA73">
        <f t="shared" si="7"/>
        <v>0</v>
      </c>
      <c r="AB73">
        <f t="shared" si="7"/>
        <v>0</v>
      </c>
      <c r="AC73">
        <f t="shared" si="6"/>
        <v>0</v>
      </c>
      <c r="AD73">
        <f t="shared" si="6"/>
        <v>0</v>
      </c>
      <c r="AE73">
        <f t="shared" si="6"/>
        <v>0</v>
      </c>
      <c r="AF73">
        <f t="shared" si="6"/>
        <v>0</v>
      </c>
      <c r="AG73">
        <f t="shared" si="6"/>
        <v>0</v>
      </c>
      <c r="AH73">
        <f t="shared" si="6"/>
        <v>0</v>
      </c>
      <c r="AI73">
        <f t="shared" si="6"/>
        <v>0</v>
      </c>
      <c r="AJ73">
        <f t="shared" si="6"/>
        <v>0</v>
      </c>
      <c r="AK73">
        <f t="shared" si="6"/>
        <v>0</v>
      </c>
      <c r="AL73">
        <f t="shared" si="8"/>
        <v>0</v>
      </c>
    </row>
    <row r="74" spans="23:38" x14ac:dyDescent="0.25">
      <c r="W74">
        <f t="shared" si="9"/>
        <v>0</v>
      </c>
      <c r="X74">
        <f t="shared" si="7"/>
        <v>0</v>
      </c>
      <c r="Y74">
        <f t="shared" si="7"/>
        <v>0</v>
      </c>
      <c r="Z74">
        <f t="shared" si="7"/>
        <v>0</v>
      </c>
      <c r="AA74">
        <f t="shared" si="7"/>
        <v>0</v>
      </c>
      <c r="AB74">
        <f t="shared" si="7"/>
        <v>0</v>
      </c>
      <c r="AC74">
        <f t="shared" si="6"/>
        <v>0</v>
      </c>
      <c r="AD74">
        <f t="shared" si="6"/>
        <v>0</v>
      </c>
      <c r="AE74">
        <f t="shared" si="6"/>
        <v>0</v>
      </c>
      <c r="AF74">
        <f t="shared" ref="AF74:AK105" si="10">_xlfn.IFNA(LOOKUP(J74,$T$6:$T$25,$U$6:$U$25),0)+COUNTIF(J$1:J$3,$W74)</f>
        <v>0</v>
      </c>
      <c r="AG74">
        <f t="shared" si="10"/>
        <v>0</v>
      </c>
      <c r="AH74">
        <f t="shared" si="10"/>
        <v>0</v>
      </c>
      <c r="AI74">
        <f t="shared" si="10"/>
        <v>0</v>
      </c>
      <c r="AJ74">
        <f t="shared" si="10"/>
        <v>0</v>
      </c>
      <c r="AK74">
        <f t="shared" si="10"/>
        <v>0</v>
      </c>
      <c r="AL74">
        <f t="shared" si="8"/>
        <v>0</v>
      </c>
    </row>
    <row r="75" spans="23:38" x14ac:dyDescent="0.25">
      <c r="W75">
        <f t="shared" si="9"/>
        <v>0</v>
      </c>
      <c r="X75">
        <f t="shared" si="7"/>
        <v>0</v>
      </c>
      <c r="Y75">
        <f t="shared" si="7"/>
        <v>0</v>
      </c>
      <c r="Z75">
        <f t="shared" si="7"/>
        <v>0</v>
      </c>
      <c r="AA75">
        <f t="shared" si="7"/>
        <v>0</v>
      </c>
      <c r="AB75">
        <f t="shared" si="7"/>
        <v>0</v>
      </c>
      <c r="AC75">
        <f t="shared" si="7"/>
        <v>0</v>
      </c>
      <c r="AD75">
        <f t="shared" si="7"/>
        <v>0</v>
      </c>
      <c r="AE75">
        <f t="shared" si="7"/>
        <v>0</v>
      </c>
      <c r="AF75">
        <f t="shared" si="10"/>
        <v>0</v>
      </c>
      <c r="AG75">
        <f t="shared" si="10"/>
        <v>0</v>
      </c>
      <c r="AH75">
        <f t="shared" si="10"/>
        <v>0</v>
      </c>
      <c r="AI75">
        <f t="shared" si="10"/>
        <v>0</v>
      </c>
      <c r="AJ75">
        <f t="shared" si="10"/>
        <v>0</v>
      </c>
      <c r="AK75">
        <f t="shared" si="10"/>
        <v>0</v>
      </c>
      <c r="AL75">
        <f t="shared" si="8"/>
        <v>0</v>
      </c>
    </row>
    <row r="76" spans="23:38" x14ac:dyDescent="0.25">
      <c r="W76">
        <f t="shared" si="9"/>
        <v>0</v>
      </c>
      <c r="X76">
        <f t="shared" si="7"/>
        <v>0</v>
      </c>
      <c r="Y76">
        <f t="shared" si="7"/>
        <v>0</v>
      </c>
      <c r="Z76">
        <f t="shared" si="7"/>
        <v>0</v>
      </c>
      <c r="AA76">
        <f t="shared" si="7"/>
        <v>0</v>
      </c>
      <c r="AB76">
        <f t="shared" si="7"/>
        <v>0</v>
      </c>
      <c r="AC76">
        <f t="shared" si="7"/>
        <v>0</v>
      </c>
      <c r="AD76">
        <f t="shared" si="7"/>
        <v>0</v>
      </c>
      <c r="AE76">
        <f t="shared" si="7"/>
        <v>0</v>
      </c>
      <c r="AF76">
        <f t="shared" si="10"/>
        <v>0</v>
      </c>
      <c r="AG76">
        <f t="shared" si="10"/>
        <v>0</v>
      </c>
      <c r="AH76">
        <f t="shared" si="10"/>
        <v>0</v>
      </c>
      <c r="AI76">
        <f t="shared" si="10"/>
        <v>0</v>
      </c>
      <c r="AJ76">
        <f t="shared" si="10"/>
        <v>0</v>
      </c>
      <c r="AK76">
        <f t="shared" si="10"/>
        <v>0</v>
      </c>
      <c r="AL76">
        <f t="shared" si="8"/>
        <v>0</v>
      </c>
    </row>
    <row r="77" spans="23:38" x14ac:dyDescent="0.25">
      <c r="W77">
        <f t="shared" si="9"/>
        <v>0</v>
      </c>
      <c r="X77">
        <f t="shared" si="7"/>
        <v>0</v>
      </c>
      <c r="Y77">
        <f t="shared" si="7"/>
        <v>0</v>
      </c>
      <c r="Z77">
        <f t="shared" si="7"/>
        <v>0</v>
      </c>
      <c r="AA77">
        <f t="shared" si="7"/>
        <v>0</v>
      </c>
      <c r="AB77">
        <f t="shared" si="7"/>
        <v>0</v>
      </c>
      <c r="AC77">
        <f t="shared" si="7"/>
        <v>0</v>
      </c>
      <c r="AD77">
        <f t="shared" si="7"/>
        <v>0</v>
      </c>
      <c r="AE77">
        <f t="shared" si="7"/>
        <v>0</v>
      </c>
      <c r="AF77">
        <f t="shared" si="10"/>
        <v>0</v>
      </c>
      <c r="AG77">
        <f t="shared" si="10"/>
        <v>0</v>
      </c>
      <c r="AH77">
        <f t="shared" si="10"/>
        <v>0</v>
      </c>
      <c r="AI77">
        <f t="shared" si="10"/>
        <v>0</v>
      </c>
      <c r="AJ77">
        <f t="shared" si="10"/>
        <v>0</v>
      </c>
      <c r="AK77">
        <f t="shared" si="10"/>
        <v>0</v>
      </c>
      <c r="AL77">
        <f t="shared" si="8"/>
        <v>0</v>
      </c>
    </row>
    <row r="78" spans="23:38" x14ac:dyDescent="0.25">
      <c r="W78">
        <f t="shared" si="9"/>
        <v>0</v>
      </c>
      <c r="X78">
        <f t="shared" si="7"/>
        <v>0</v>
      </c>
      <c r="Y78">
        <f t="shared" si="7"/>
        <v>0</v>
      </c>
      <c r="Z78">
        <f t="shared" si="7"/>
        <v>0</v>
      </c>
      <c r="AA78">
        <f t="shared" si="7"/>
        <v>0</v>
      </c>
      <c r="AB78">
        <f t="shared" si="7"/>
        <v>0</v>
      </c>
      <c r="AC78">
        <f t="shared" si="7"/>
        <v>0</v>
      </c>
      <c r="AD78">
        <f t="shared" si="7"/>
        <v>0</v>
      </c>
      <c r="AE78">
        <f t="shared" si="7"/>
        <v>0</v>
      </c>
      <c r="AF78">
        <f t="shared" si="10"/>
        <v>0</v>
      </c>
      <c r="AG78">
        <f t="shared" si="10"/>
        <v>0</v>
      </c>
      <c r="AH78">
        <f t="shared" si="10"/>
        <v>0</v>
      </c>
      <c r="AI78">
        <f t="shared" si="10"/>
        <v>0</v>
      </c>
      <c r="AJ78">
        <f t="shared" si="10"/>
        <v>0</v>
      </c>
      <c r="AK78">
        <f t="shared" si="10"/>
        <v>0</v>
      </c>
      <c r="AL78">
        <f t="shared" si="8"/>
        <v>0</v>
      </c>
    </row>
    <row r="79" spans="23:38" x14ac:dyDescent="0.25">
      <c r="W79">
        <f t="shared" si="9"/>
        <v>0</v>
      </c>
      <c r="X79">
        <f t="shared" si="7"/>
        <v>0</v>
      </c>
      <c r="Y79">
        <f t="shared" si="7"/>
        <v>0</v>
      </c>
      <c r="Z79">
        <f t="shared" si="7"/>
        <v>0</v>
      </c>
      <c r="AA79">
        <f t="shared" si="7"/>
        <v>0</v>
      </c>
      <c r="AB79">
        <f t="shared" si="7"/>
        <v>0</v>
      </c>
      <c r="AC79">
        <f t="shared" si="7"/>
        <v>0</v>
      </c>
      <c r="AD79">
        <f t="shared" si="7"/>
        <v>0</v>
      </c>
      <c r="AE79">
        <f t="shared" si="7"/>
        <v>0</v>
      </c>
      <c r="AF79">
        <f t="shared" si="10"/>
        <v>0</v>
      </c>
      <c r="AG79">
        <f t="shared" si="10"/>
        <v>0</v>
      </c>
      <c r="AH79">
        <f t="shared" si="10"/>
        <v>0</v>
      </c>
      <c r="AI79">
        <f t="shared" si="10"/>
        <v>0</v>
      </c>
      <c r="AJ79">
        <f t="shared" si="10"/>
        <v>0</v>
      </c>
      <c r="AK79">
        <f t="shared" si="10"/>
        <v>0</v>
      </c>
      <c r="AL79">
        <f t="shared" si="8"/>
        <v>0</v>
      </c>
    </row>
    <row r="80" spans="23:38" x14ac:dyDescent="0.25">
      <c r="W80">
        <f t="shared" si="9"/>
        <v>0</v>
      </c>
      <c r="X80">
        <f t="shared" si="7"/>
        <v>0</v>
      </c>
      <c r="Y80">
        <f t="shared" si="7"/>
        <v>0</v>
      </c>
      <c r="Z80">
        <f t="shared" si="7"/>
        <v>0</v>
      </c>
      <c r="AA80">
        <f t="shared" si="7"/>
        <v>0</v>
      </c>
      <c r="AB80">
        <f t="shared" si="7"/>
        <v>0</v>
      </c>
      <c r="AC80">
        <f t="shared" si="7"/>
        <v>0</v>
      </c>
      <c r="AD80">
        <f t="shared" si="7"/>
        <v>0</v>
      </c>
      <c r="AE80">
        <f t="shared" si="7"/>
        <v>0</v>
      </c>
      <c r="AF80">
        <f t="shared" si="10"/>
        <v>0</v>
      </c>
      <c r="AG80">
        <f t="shared" si="10"/>
        <v>0</v>
      </c>
      <c r="AH80">
        <f t="shared" si="10"/>
        <v>0</v>
      </c>
      <c r="AI80">
        <f t="shared" si="10"/>
        <v>0</v>
      </c>
      <c r="AJ80">
        <f t="shared" si="10"/>
        <v>0</v>
      </c>
      <c r="AK80">
        <f t="shared" si="10"/>
        <v>0</v>
      </c>
      <c r="AL80">
        <f t="shared" si="8"/>
        <v>0</v>
      </c>
    </row>
    <row r="81" spans="23:38" x14ac:dyDescent="0.25">
      <c r="W81">
        <f t="shared" si="9"/>
        <v>0</v>
      </c>
      <c r="X81">
        <f t="shared" si="7"/>
        <v>0</v>
      </c>
      <c r="Y81">
        <f t="shared" si="7"/>
        <v>0</v>
      </c>
      <c r="Z81">
        <f t="shared" si="7"/>
        <v>0</v>
      </c>
      <c r="AA81">
        <f t="shared" si="7"/>
        <v>0</v>
      </c>
      <c r="AB81">
        <f t="shared" si="7"/>
        <v>0</v>
      </c>
      <c r="AC81">
        <f t="shared" si="7"/>
        <v>0</v>
      </c>
      <c r="AD81">
        <f t="shared" si="7"/>
        <v>0</v>
      </c>
      <c r="AE81">
        <f t="shared" si="7"/>
        <v>0</v>
      </c>
      <c r="AF81">
        <f t="shared" si="10"/>
        <v>0</v>
      </c>
      <c r="AG81">
        <f t="shared" si="10"/>
        <v>0</v>
      </c>
      <c r="AH81">
        <f t="shared" si="10"/>
        <v>0</v>
      </c>
      <c r="AI81">
        <f t="shared" si="10"/>
        <v>0</v>
      </c>
      <c r="AJ81">
        <f t="shared" si="10"/>
        <v>0</v>
      </c>
      <c r="AK81">
        <f t="shared" si="10"/>
        <v>0</v>
      </c>
      <c r="AL81">
        <f t="shared" si="8"/>
        <v>0</v>
      </c>
    </row>
    <row r="82" spans="23:38" x14ac:dyDescent="0.25">
      <c r="W82">
        <f t="shared" si="9"/>
        <v>0</v>
      </c>
      <c r="X82">
        <f t="shared" si="7"/>
        <v>0</v>
      </c>
      <c r="Y82">
        <f t="shared" si="7"/>
        <v>0</v>
      </c>
      <c r="Z82">
        <f t="shared" si="7"/>
        <v>0</v>
      </c>
      <c r="AA82">
        <f t="shared" si="7"/>
        <v>0</v>
      </c>
      <c r="AB82">
        <f t="shared" si="7"/>
        <v>0</v>
      </c>
      <c r="AC82">
        <f t="shared" si="7"/>
        <v>0</v>
      </c>
      <c r="AD82">
        <f t="shared" si="7"/>
        <v>0</v>
      </c>
      <c r="AE82">
        <f t="shared" si="7"/>
        <v>0</v>
      </c>
      <c r="AF82">
        <f t="shared" si="10"/>
        <v>0</v>
      </c>
      <c r="AG82">
        <f t="shared" si="10"/>
        <v>0</v>
      </c>
      <c r="AH82">
        <f t="shared" si="10"/>
        <v>0</v>
      </c>
      <c r="AI82">
        <f t="shared" si="10"/>
        <v>0</v>
      </c>
      <c r="AJ82">
        <f t="shared" si="10"/>
        <v>0</v>
      </c>
      <c r="AK82">
        <f t="shared" si="10"/>
        <v>0</v>
      </c>
      <c r="AL82">
        <f t="shared" si="8"/>
        <v>0</v>
      </c>
    </row>
    <row r="83" spans="23:38" x14ac:dyDescent="0.25">
      <c r="W83">
        <f t="shared" si="9"/>
        <v>0</v>
      </c>
      <c r="X83">
        <f t="shared" si="7"/>
        <v>0</v>
      </c>
      <c r="Y83">
        <f t="shared" si="7"/>
        <v>0</v>
      </c>
      <c r="Z83">
        <f t="shared" si="7"/>
        <v>0</v>
      </c>
      <c r="AA83">
        <f t="shared" si="7"/>
        <v>0</v>
      </c>
      <c r="AB83">
        <f t="shared" si="7"/>
        <v>0</v>
      </c>
      <c r="AC83">
        <f t="shared" si="7"/>
        <v>0</v>
      </c>
      <c r="AD83">
        <f t="shared" si="7"/>
        <v>0</v>
      </c>
      <c r="AE83">
        <f t="shared" si="7"/>
        <v>0</v>
      </c>
      <c r="AF83">
        <f t="shared" si="10"/>
        <v>0</v>
      </c>
      <c r="AG83">
        <f t="shared" si="10"/>
        <v>0</v>
      </c>
      <c r="AH83">
        <f t="shared" si="10"/>
        <v>0</v>
      </c>
      <c r="AI83">
        <f t="shared" si="10"/>
        <v>0</v>
      </c>
      <c r="AJ83">
        <f t="shared" si="10"/>
        <v>0</v>
      </c>
      <c r="AK83">
        <f t="shared" si="10"/>
        <v>0</v>
      </c>
      <c r="AL83">
        <f t="shared" si="8"/>
        <v>0</v>
      </c>
    </row>
    <row r="84" spans="23:38" x14ac:dyDescent="0.25">
      <c r="W84">
        <f t="shared" si="9"/>
        <v>0</v>
      </c>
      <c r="X84">
        <f t="shared" si="7"/>
        <v>0</v>
      </c>
      <c r="Y84">
        <f t="shared" si="7"/>
        <v>0</v>
      </c>
      <c r="Z84">
        <f t="shared" si="7"/>
        <v>0</v>
      </c>
      <c r="AA84">
        <f t="shared" si="7"/>
        <v>0</v>
      </c>
      <c r="AB84">
        <f t="shared" si="7"/>
        <v>0</v>
      </c>
      <c r="AC84">
        <f t="shared" si="7"/>
        <v>0</v>
      </c>
      <c r="AD84">
        <f t="shared" si="7"/>
        <v>0</v>
      </c>
      <c r="AE84">
        <f t="shared" si="7"/>
        <v>0</v>
      </c>
      <c r="AF84">
        <f t="shared" si="10"/>
        <v>0</v>
      </c>
      <c r="AG84">
        <f t="shared" si="10"/>
        <v>0</v>
      </c>
      <c r="AH84">
        <f t="shared" si="10"/>
        <v>0</v>
      </c>
      <c r="AI84">
        <f t="shared" si="10"/>
        <v>0</v>
      </c>
      <c r="AJ84">
        <f t="shared" si="10"/>
        <v>0</v>
      </c>
      <c r="AK84">
        <f t="shared" si="10"/>
        <v>0</v>
      </c>
      <c r="AL84">
        <f t="shared" si="8"/>
        <v>0</v>
      </c>
    </row>
    <row r="85" spans="23:38" x14ac:dyDescent="0.25">
      <c r="W85">
        <f t="shared" si="9"/>
        <v>0</v>
      </c>
      <c r="X85">
        <f t="shared" si="7"/>
        <v>0</v>
      </c>
      <c r="Y85">
        <f t="shared" si="7"/>
        <v>0</v>
      </c>
      <c r="Z85">
        <f t="shared" si="7"/>
        <v>0</v>
      </c>
      <c r="AA85">
        <f t="shared" si="7"/>
        <v>0</v>
      </c>
      <c r="AB85">
        <f t="shared" si="7"/>
        <v>0</v>
      </c>
      <c r="AC85">
        <f t="shared" si="7"/>
        <v>0</v>
      </c>
      <c r="AD85">
        <f t="shared" si="7"/>
        <v>0</v>
      </c>
      <c r="AE85">
        <f t="shared" si="7"/>
        <v>0</v>
      </c>
      <c r="AF85">
        <f t="shared" si="10"/>
        <v>0</v>
      </c>
      <c r="AG85">
        <f t="shared" si="10"/>
        <v>0</v>
      </c>
      <c r="AH85">
        <f t="shared" si="10"/>
        <v>0</v>
      </c>
      <c r="AI85">
        <f t="shared" si="10"/>
        <v>0</v>
      </c>
      <c r="AJ85">
        <f t="shared" si="10"/>
        <v>0</v>
      </c>
      <c r="AK85">
        <f t="shared" si="10"/>
        <v>0</v>
      </c>
      <c r="AL85">
        <f t="shared" si="8"/>
        <v>0</v>
      </c>
    </row>
    <row r="86" spans="23:38" x14ac:dyDescent="0.25">
      <c r="W86">
        <f t="shared" si="9"/>
        <v>0</v>
      </c>
      <c r="X86">
        <f t="shared" si="7"/>
        <v>0</v>
      </c>
      <c r="Y86">
        <f t="shared" si="7"/>
        <v>0</v>
      </c>
      <c r="Z86">
        <f t="shared" si="7"/>
        <v>0</v>
      </c>
      <c r="AA86">
        <f t="shared" si="7"/>
        <v>0</v>
      </c>
      <c r="AB86">
        <f t="shared" si="7"/>
        <v>0</v>
      </c>
      <c r="AC86">
        <f t="shared" si="7"/>
        <v>0</v>
      </c>
      <c r="AD86">
        <f t="shared" si="7"/>
        <v>0</v>
      </c>
      <c r="AE86">
        <f t="shared" si="7"/>
        <v>0</v>
      </c>
      <c r="AF86">
        <f t="shared" si="10"/>
        <v>0</v>
      </c>
      <c r="AG86">
        <f t="shared" si="10"/>
        <v>0</v>
      </c>
      <c r="AH86">
        <f t="shared" si="10"/>
        <v>0</v>
      </c>
      <c r="AI86">
        <f t="shared" si="10"/>
        <v>0</v>
      </c>
      <c r="AJ86">
        <f t="shared" si="10"/>
        <v>0</v>
      </c>
      <c r="AK86">
        <f t="shared" si="10"/>
        <v>0</v>
      </c>
      <c r="AL86">
        <f t="shared" si="8"/>
        <v>0</v>
      </c>
    </row>
    <row r="87" spans="23:38" x14ac:dyDescent="0.25">
      <c r="W87">
        <f t="shared" si="9"/>
        <v>0</v>
      </c>
      <c r="X87">
        <f t="shared" si="7"/>
        <v>0</v>
      </c>
      <c r="Y87">
        <f t="shared" si="7"/>
        <v>0</v>
      </c>
      <c r="Z87">
        <f t="shared" si="7"/>
        <v>0</v>
      </c>
      <c r="AA87">
        <f t="shared" si="7"/>
        <v>0</v>
      </c>
      <c r="AB87">
        <f t="shared" si="7"/>
        <v>0</v>
      </c>
      <c r="AC87">
        <f t="shared" si="7"/>
        <v>0</v>
      </c>
      <c r="AD87">
        <f t="shared" si="7"/>
        <v>0</v>
      </c>
      <c r="AE87">
        <f t="shared" si="7"/>
        <v>0</v>
      </c>
      <c r="AF87">
        <f t="shared" si="10"/>
        <v>0</v>
      </c>
      <c r="AG87">
        <f t="shared" si="10"/>
        <v>0</v>
      </c>
      <c r="AH87">
        <f t="shared" si="10"/>
        <v>0</v>
      </c>
      <c r="AI87">
        <f t="shared" si="10"/>
        <v>0</v>
      </c>
      <c r="AJ87">
        <f t="shared" si="10"/>
        <v>0</v>
      </c>
      <c r="AK87">
        <f t="shared" si="10"/>
        <v>0</v>
      </c>
      <c r="AL87">
        <f t="shared" si="8"/>
        <v>0</v>
      </c>
    </row>
    <row r="88" spans="23:38" x14ac:dyDescent="0.25">
      <c r="W88">
        <f t="shared" si="9"/>
        <v>0</v>
      </c>
      <c r="X88">
        <f t="shared" ref="X88:AK119" si="11">_xlfn.IFNA(LOOKUP(B88,$T$6:$T$25,$U$6:$U$25),0)+COUNTIF(B$1:B$3,$W88)</f>
        <v>0</v>
      </c>
      <c r="Y88">
        <f t="shared" si="11"/>
        <v>0</v>
      </c>
      <c r="Z88">
        <f t="shared" si="11"/>
        <v>0</v>
      </c>
      <c r="AA88">
        <f t="shared" si="11"/>
        <v>0</v>
      </c>
      <c r="AB88">
        <f t="shared" si="11"/>
        <v>0</v>
      </c>
      <c r="AC88">
        <f t="shared" si="11"/>
        <v>0</v>
      </c>
      <c r="AD88">
        <f t="shared" si="11"/>
        <v>0</v>
      </c>
      <c r="AE88">
        <f t="shared" si="11"/>
        <v>0</v>
      </c>
      <c r="AF88">
        <f t="shared" si="10"/>
        <v>0</v>
      </c>
      <c r="AG88">
        <f t="shared" si="10"/>
        <v>0</v>
      </c>
      <c r="AH88">
        <f t="shared" si="10"/>
        <v>0</v>
      </c>
      <c r="AI88">
        <f t="shared" si="10"/>
        <v>0</v>
      </c>
      <c r="AJ88">
        <f t="shared" si="10"/>
        <v>0</v>
      </c>
      <c r="AK88">
        <f t="shared" si="10"/>
        <v>0</v>
      </c>
      <c r="AL88">
        <f t="shared" si="8"/>
        <v>0</v>
      </c>
    </row>
    <row r="89" spans="23:38" x14ac:dyDescent="0.25">
      <c r="W89">
        <f t="shared" si="9"/>
        <v>0</v>
      </c>
      <c r="X89">
        <f t="shared" si="11"/>
        <v>0</v>
      </c>
      <c r="Y89">
        <f t="shared" si="11"/>
        <v>0</v>
      </c>
      <c r="Z89">
        <f t="shared" si="11"/>
        <v>0</v>
      </c>
      <c r="AA89">
        <f t="shared" si="11"/>
        <v>0</v>
      </c>
      <c r="AB89">
        <f t="shared" si="11"/>
        <v>0</v>
      </c>
      <c r="AC89">
        <f t="shared" si="11"/>
        <v>0</v>
      </c>
      <c r="AD89">
        <f t="shared" si="11"/>
        <v>0</v>
      </c>
      <c r="AE89">
        <f t="shared" si="11"/>
        <v>0</v>
      </c>
      <c r="AF89">
        <f t="shared" si="10"/>
        <v>0</v>
      </c>
      <c r="AG89">
        <f t="shared" si="10"/>
        <v>0</v>
      </c>
      <c r="AH89">
        <f t="shared" si="10"/>
        <v>0</v>
      </c>
      <c r="AI89">
        <f t="shared" si="10"/>
        <v>0</v>
      </c>
      <c r="AJ89">
        <f t="shared" si="10"/>
        <v>0</v>
      </c>
      <c r="AK89">
        <f t="shared" si="10"/>
        <v>0</v>
      </c>
      <c r="AL89">
        <f t="shared" si="8"/>
        <v>0</v>
      </c>
    </row>
    <row r="90" spans="23:38" x14ac:dyDescent="0.25">
      <c r="W90">
        <f t="shared" si="9"/>
        <v>0</v>
      </c>
      <c r="X90">
        <f t="shared" si="11"/>
        <v>0</v>
      </c>
      <c r="Y90">
        <f t="shared" si="11"/>
        <v>0</v>
      </c>
      <c r="Z90">
        <f t="shared" si="11"/>
        <v>0</v>
      </c>
      <c r="AA90">
        <f t="shared" si="11"/>
        <v>0</v>
      </c>
      <c r="AB90">
        <f t="shared" si="11"/>
        <v>0</v>
      </c>
      <c r="AC90">
        <f t="shared" si="11"/>
        <v>0</v>
      </c>
      <c r="AD90">
        <f t="shared" si="11"/>
        <v>0</v>
      </c>
      <c r="AE90">
        <f t="shared" si="11"/>
        <v>0</v>
      </c>
      <c r="AF90">
        <f t="shared" si="10"/>
        <v>0</v>
      </c>
      <c r="AG90">
        <f t="shared" si="10"/>
        <v>0</v>
      </c>
      <c r="AH90">
        <f t="shared" si="10"/>
        <v>0</v>
      </c>
      <c r="AI90">
        <f t="shared" si="10"/>
        <v>0</v>
      </c>
      <c r="AJ90">
        <f t="shared" si="10"/>
        <v>0</v>
      </c>
      <c r="AK90">
        <f t="shared" si="10"/>
        <v>0</v>
      </c>
      <c r="AL90">
        <f t="shared" si="8"/>
        <v>0</v>
      </c>
    </row>
    <row r="91" spans="23:38" x14ac:dyDescent="0.25">
      <c r="W91">
        <f t="shared" si="9"/>
        <v>0</v>
      </c>
      <c r="X91">
        <f t="shared" si="11"/>
        <v>0</v>
      </c>
      <c r="Y91">
        <f t="shared" si="11"/>
        <v>0</v>
      </c>
      <c r="Z91">
        <f t="shared" si="11"/>
        <v>0</v>
      </c>
      <c r="AA91">
        <f t="shared" si="11"/>
        <v>0</v>
      </c>
      <c r="AB91">
        <f t="shared" si="11"/>
        <v>0</v>
      </c>
      <c r="AC91">
        <f t="shared" si="11"/>
        <v>0</v>
      </c>
      <c r="AD91">
        <f t="shared" si="11"/>
        <v>0</v>
      </c>
      <c r="AE91">
        <f t="shared" si="11"/>
        <v>0</v>
      </c>
      <c r="AF91">
        <f t="shared" si="10"/>
        <v>0</v>
      </c>
      <c r="AG91">
        <f t="shared" si="10"/>
        <v>0</v>
      </c>
      <c r="AH91">
        <f t="shared" si="10"/>
        <v>0</v>
      </c>
      <c r="AI91">
        <f t="shared" si="10"/>
        <v>0</v>
      </c>
      <c r="AJ91">
        <f t="shared" si="10"/>
        <v>0</v>
      </c>
      <c r="AK91">
        <f t="shared" si="10"/>
        <v>0</v>
      </c>
      <c r="AL91">
        <f t="shared" si="8"/>
        <v>0</v>
      </c>
    </row>
    <row r="92" spans="23:38" x14ac:dyDescent="0.25">
      <c r="W92">
        <f t="shared" si="9"/>
        <v>0</v>
      </c>
      <c r="X92">
        <f t="shared" si="11"/>
        <v>0</v>
      </c>
      <c r="Y92">
        <f t="shared" si="11"/>
        <v>0</v>
      </c>
      <c r="Z92">
        <f t="shared" si="11"/>
        <v>0</v>
      </c>
      <c r="AA92">
        <f t="shared" si="11"/>
        <v>0</v>
      </c>
      <c r="AB92">
        <f t="shared" si="11"/>
        <v>0</v>
      </c>
      <c r="AC92">
        <f t="shared" si="11"/>
        <v>0</v>
      </c>
      <c r="AD92">
        <f t="shared" si="11"/>
        <v>0</v>
      </c>
      <c r="AE92">
        <f t="shared" si="11"/>
        <v>0</v>
      </c>
      <c r="AF92">
        <f t="shared" si="10"/>
        <v>0</v>
      </c>
      <c r="AG92">
        <f t="shared" si="10"/>
        <v>0</v>
      </c>
      <c r="AH92">
        <f t="shared" si="10"/>
        <v>0</v>
      </c>
      <c r="AI92">
        <f t="shared" si="10"/>
        <v>0</v>
      </c>
      <c r="AJ92">
        <f t="shared" si="10"/>
        <v>0</v>
      </c>
      <c r="AK92">
        <f t="shared" si="10"/>
        <v>0</v>
      </c>
      <c r="AL92">
        <f t="shared" si="8"/>
        <v>0</v>
      </c>
    </row>
    <row r="93" spans="23:38" x14ac:dyDescent="0.25">
      <c r="W93">
        <f t="shared" si="9"/>
        <v>0</v>
      </c>
      <c r="X93">
        <f t="shared" si="11"/>
        <v>0</v>
      </c>
      <c r="Y93">
        <f t="shared" si="11"/>
        <v>0</v>
      </c>
      <c r="Z93">
        <f t="shared" si="11"/>
        <v>0</v>
      </c>
      <c r="AA93">
        <f t="shared" si="11"/>
        <v>0</v>
      </c>
      <c r="AB93">
        <f t="shared" si="11"/>
        <v>0</v>
      </c>
      <c r="AC93">
        <f t="shared" si="11"/>
        <v>0</v>
      </c>
      <c r="AD93">
        <f t="shared" si="11"/>
        <v>0</v>
      </c>
      <c r="AE93">
        <f t="shared" si="11"/>
        <v>0</v>
      </c>
      <c r="AF93">
        <f t="shared" si="10"/>
        <v>0</v>
      </c>
      <c r="AG93">
        <f t="shared" si="10"/>
        <v>0</v>
      </c>
      <c r="AH93">
        <f t="shared" si="10"/>
        <v>0</v>
      </c>
      <c r="AI93">
        <f t="shared" si="10"/>
        <v>0</v>
      </c>
      <c r="AJ93">
        <f t="shared" si="10"/>
        <v>0</v>
      </c>
      <c r="AK93">
        <f t="shared" si="10"/>
        <v>0</v>
      </c>
      <c r="AL93">
        <f t="shared" si="8"/>
        <v>0</v>
      </c>
    </row>
    <row r="94" spans="23:38" x14ac:dyDescent="0.25">
      <c r="W94">
        <f t="shared" si="9"/>
        <v>0</v>
      </c>
      <c r="X94">
        <f t="shared" si="11"/>
        <v>0</v>
      </c>
      <c r="Y94">
        <f t="shared" si="11"/>
        <v>0</v>
      </c>
      <c r="Z94">
        <f t="shared" si="11"/>
        <v>0</v>
      </c>
      <c r="AA94">
        <f t="shared" si="11"/>
        <v>0</v>
      </c>
      <c r="AB94">
        <f t="shared" si="11"/>
        <v>0</v>
      </c>
      <c r="AC94">
        <f t="shared" si="11"/>
        <v>0</v>
      </c>
      <c r="AD94">
        <f t="shared" si="11"/>
        <v>0</v>
      </c>
      <c r="AE94">
        <f t="shared" si="11"/>
        <v>0</v>
      </c>
      <c r="AF94">
        <f t="shared" si="10"/>
        <v>0</v>
      </c>
      <c r="AG94">
        <f t="shared" si="10"/>
        <v>0</v>
      </c>
      <c r="AH94">
        <f t="shared" si="10"/>
        <v>0</v>
      </c>
      <c r="AI94">
        <f t="shared" si="10"/>
        <v>0</v>
      </c>
      <c r="AJ94">
        <f t="shared" si="10"/>
        <v>0</v>
      </c>
      <c r="AK94">
        <f t="shared" si="10"/>
        <v>0</v>
      </c>
      <c r="AL94">
        <f t="shared" si="8"/>
        <v>0</v>
      </c>
    </row>
    <row r="95" spans="23:38" x14ac:dyDescent="0.25">
      <c r="W95">
        <f t="shared" si="9"/>
        <v>0</v>
      </c>
      <c r="X95">
        <f t="shared" si="11"/>
        <v>0</v>
      </c>
      <c r="Y95">
        <f t="shared" si="11"/>
        <v>0</v>
      </c>
      <c r="Z95">
        <f t="shared" si="11"/>
        <v>0</v>
      </c>
      <c r="AA95">
        <f t="shared" si="11"/>
        <v>0</v>
      </c>
      <c r="AB95">
        <f t="shared" si="11"/>
        <v>0</v>
      </c>
      <c r="AC95">
        <f t="shared" si="11"/>
        <v>0</v>
      </c>
      <c r="AD95">
        <f t="shared" si="11"/>
        <v>0</v>
      </c>
      <c r="AE95">
        <f t="shared" si="11"/>
        <v>0</v>
      </c>
      <c r="AF95">
        <f t="shared" si="10"/>
        <v>0</v>
      </c>
      <c r="AG95">
        <f t="shared" si="10"/>
        <v>0</v>
      </c>
      <c r="AH95">
        <f t="shared" si="10"/>
        <v>0</v>
      </c>
      <c r="AI95">
        <f t="shared" si="10"/>
        <v>0</v>
      </c>
      <c r="AJ95">
        <f t="shared" si="10"/>
        <v>0</v>
      </c>
      <c r="AK95">
        <f t="shared" si="10"/>
        <v>0</v>
      </c>
      <c r="AL95">
        <f t="shared" si="8"/>
        <v>0</v>
      </c>
    </row>
    <row r="96" spans="23:38" x14ac:dyDescent="0.25">
      <c r="W96">
        <f t="shared" si="9"/>
        <v>0</v>
      </c>
      <c r="X96">
        <f t="shared" si="11"/>
        <v>0</v>
      </c>
      <c r="Y96">
        <f t="shared" si="11"/>
        <v>0</v>
      </c>
      <c r="Z96">
        <f t="shared" si="11"/>
        <v>0</v>
      </c>
      <c r="AA96">
        <f t="shared" si="11"/>
        <v>0</v>
      </c>
      <c r="AB96">
        <f t="shared" si="11"/>
        <v>0</v>
      </c>
      <c r="AC96">
        <f t="shared" si="11"/>
        <v>0</v>
      </c>
      <c r="AD96">
        <f t="shared" si="11"/>
        <v>0</v>
      </c>
      <c r="AE96">
        <f t="shared" si="11"/>
        <v>0</v>
      </c>
      <c r="AF96">
        <f t="shared" si="10"/>
        <v>0</v>
      </c>
      <c r="AG96">
        <f t="shared" si="10"/>
        <v>0</v>
      </c>
      <c r="AH96">
        <f t="shared" si="10"/>
        <v>0</v>
      </c>
      <c r="AI96">
        <f t="shared" si="10"/>
        <v>0</v>
      </c>
      <c r="AJ96">
        <f t="shared" si="10"/>
        <v>0</v>
      </c>
      <c r="AK96">
        <f t="shared" si="10"/>
        <v>0</v>
      </c>
      <c r="AL96">
        <f t="shared" si="8"/>
        <v>0</v>
      </c>
    </row>
    <row r="97" spans="23:38" x14ac:dyDescent="0.25">
      <c r="W97">
        <f t="shared" si="9"/>
        <v>0</v>
      </c>
      <c r="X97">
        <f t="shared" si="11"/>
        <v>0</v>
      </c>
      <c r="Y97">
        <f t="shared" si="11"/>
        <v>0</v>
      </c>
      <c r="Z97">
        <f t="shared" si="11"/>
        <v>0</v>
      </c>
      <c r="AA97">
        <f t="shared" si="11"/>
        <v>0</v>
      </c>
      <c r="AB97">
        <f t="shared" si="11"/>
        <v>0</v>
      </c>
      <c r="AC97">
        <f t="shared" si="11"/>
        <v>0</v>
      </c>
      <c r="AD97">
        <f t="shared" si="11"/>
        <v>0</v>
      </c>
      <c r="AE97">
        <f t="shared" si="11"/>
        <v>0</v>
      </c>
      <c r="AF97">
        <f t="shared" si="10"/>
        <v>0</v>
      </c>
      <c r="AG97">
        <f t="shared" si="10"/>
        <v>0</v>
      </c>
      <c r="AH97">
        <f t="shared" si="10"/>
        <v>0</v>
      </c>
      <c r="AI97">
        <f t="shared" si="10"/>
        <v>0</v>
      </c>
      <c r="AJ97">
        <f t="shared" si="10"/>
        <v>0</v>
      </c>
      <c r="AK97">
        <f t="shared" si="10"/>
        <v>0</v>
      </c>
      <c r="AL97">
        <f t="shared" si="8"/>
        <v>0</v>
      </c>
    </row>
    <row r="98" spans="23:38" x14ac:dyDescent="0.25">
      <c r="W98">
        <f t="shared" si="9"/>
        <v>0</v>
      </c>
      <c r="X98">
        <f t="shared" si="11"/>
        <v>0</v>
      </c>
      <c r="Y98">
        <f t="shared" si="11"/>
        <v>0</v>
      </c>
      <c r="Z98">
        <f t="shared" si="11"/>
        <v>0</v>
      </c>
      <c r="AA98">
        <f t="shared" si="11"/>
        <v>0</v>
      </c>
      <c r="AB98">
        <f t="shared" si="11"/>
        <v>0</v>
      </c>
      <c r="AC98">
        <f t="shared" si="11"/>
        <v>0</v>
      </c>
      <c r="AD98">
        <f t="shared" si="11"/>
        <v>0</v>
      </c>
      <c r="AE98">
        <f t="shared" si="11"/>
        <v>0</v>
      </c>
      <c r="AF98">
        <f t="shared" si="10"/>
        <v>0</v>
      </c>
      <c r="AG98">
        <f t="shared" si="10"/>
        <v>0</v>
      </c>
      <c r="AH98">
        <f t="shared" si="10"/>
        <v>0</v>
      </c>
      <c r="AI98">
        <f t="shared" si="10"/>
        <v>0</v>
      </c>
      <c r="AJ98">
        <f t="shared" si="10"/>
        <v>0</v>
      </c>
      <c r="AK98">
        <f t="shared" si="10"/>
        <v>0</v>
      </c>
      <c r="AL98">
        <f t="shared" si="8"/>
        <v>0</v>
      </c>
    </row>
    <row r="99" spans="23:38" x14ac:dyDescent="0.25">
      <c r="W99">
        <f t="shared" si="9"/>
        <v>0</v>
      </c>
      <c r="X99">
        <f t="shared" si="11"/>
        <v>0</v>
      </c>
      <c r="Y99">
        <f t="shared" si="11"/>
        <v>0</v>
      </c>
      <c r="Z99">
        <f t="shared" si="11"/>
        <v>0</v>
      </c>
      <c r="AA99">
        <f t="shared" si="11"/>
        <v>0</v>
      </c>
      <c r="AB99">
        <f t="shared" si="11"/>
        <v>0</v>
      </c>
      <c r="AC99">
        <f t="shared" si="11"/>
        <v>0</v>
      </c>
      <c r="AD99">
        <f t="shared" si="11"/>
        <v>0</v>
      </c>
      <c r="AE99">
        <f t="shared" si="11"/>
        <v>0</v>
      </c>
      <c r="AF99">
        <f t="shared" si="10"/>
        <v>0</v>
      </c>
      <c r="AG99">
        <f t="shared" si="10"/>
        <v>0</v>
      </c>
      <c r="AH99">
        <f t="shared" si="10"/>
        <v>0</v>
      </c>
      <c r="AI99">
        <f t="shared" si="10"/>
        <v>0</v>
      </c>
      <c r="AJ99">
        <f t="shared" si="10"/>
        <v>0</v>
      </c>
      <c r="AK99">
        <f t="shared" si="10"/>
        <v>0</v>
      </c>
      <c r="AL99">
        <f t="shared" si="8"/>
        <v>0</v>
      </c>
    </row>
    <row r="100" spans="23:38" x14ac:dyDescent="0.25">
      <c r="W100">
        <f t="shared" si="9"/>
        <v>0</v>
      </c>
      <c r="X100">
        <f t="shared" si="11"/>
        <v>0</v>
      </c>
      <c r="Y100">
        <f t="shared" si="11"/>
        <v>0</v>
      </c>
      <c r="Z100">
        <f t="shared" si="11"/>
        <v>0</v>
      </c>
      <c r="AA100">
        <f t="shared" si="11"/>
        <v>0</v>
      </c>
      <c r="AB100">
        <f t="shared" si="11"/>
        <v>0</v>
      </c>
      <c r="AC100">
        <f t="shared" si="11"/>
        <v>0</v>
      </c>
      <c r="AD100">
        <f t="shared" si="11"/>
        <v>0</v>
      </c>
      <c r="AE100">
        <f t="shared" si="11"/>
        <v>0</v>
      </c>
      <c r="AF100">
        <f t="shared" si="10"/>
        <v>0</v>
      </c>
      <c r="AG100">
        <f t="shared" si="10"/>
        <v>0</v>
      </c>
      <c r="AH100">
        <f t="shared" si="10"/>
        <v>0</v>
      </c>
      <c r="AI100">
        <f t="shared" si="10"/>
        <v>0</v>
      </c>
      <c r="AJ100">
        <f t="shared" si="10"/>
        <v>0</v>
      </c>
      <c r="AK100">
        <f t="shared" si="10"/>
        <v>0</v>
      </c>
      <c r="AL100">
        <f t="shared" si="8"/>
        <v>0</v>
      </c>
    </row>
    <row r="101" spans="23:38" x14ac:dyDescent="0.25">
      <c r="W101">
        <f t="shared" si="9"/>
        <v>0</v>
      </c>
      <c r="X101">
        <f t="shared" si="11"/>
        <v>0</v>
      </c>
      <c r="Y101">
        <f t="shared" si="11"/>
        <v>0</v>
      </c>
      <c r="Z101">
        <f t="shared" si="11"/>
        <v>0</v>
      </c>
      <c r="AA101">
        <f t="shared" si="11"/>
        <v>0</v>
      </c>
      <c r="AB101">
        <f t="shared" si="11"/>
        <v>0</v>
      </c>
      <c r="AC101">
        <f t="shared" si="11"/>
        <v>0</v>
      </c>
      <c r="AD101">
        <f t="shared" si="11"/>
        <v>0</v>
      </c>
      <c r="AE101">
        <f t="shared" si="11"/>
        <v>0</v>
      </c>
      <c r="AF101">
        <f t="shared" si="10"/>
        <v>0</v>
      </c>
      <c r="AG101">
        <f t="shared" si="10"/>
        <v>0</v>
      </c>
      <c r="AH101">
        <f t="shared" si="10"/>
        <v>0</v>
      </c>
      <c r="AI101">
        <f t="shared" si="10"/>
        <v>0</v>
      </c>
      <c r="AJ101">
        <f t="shared" si="10"/>
        <v>0</v>
      </c>
      <c r="AK101">
        <f t="shared" si="10"/>
        <v>0</v>
      </c>
      <c r="AL101">
        <f t="shared" si="8"/>
        <v>0</v>
      </c>
    </row>
    <row r="102" spans="23:38" x14ac:dyDescent="0.25">
      <c r="W102">
        <f t="shared" si="9"/>
        <v>0</v>
      </c>
      <c r="X102">
        <f t="shared" si="11"/>
        <v>0</v>
      </c>
      <c r="Y102">
        <f t="shared" si="11"/>
        <v>0</v>
      </c>
      <c r="Z102">
        <f t="shared" si="11"/>
        <v>0</v>
      </c>
      <c r="AA102">
        <f t="shared" si="11"/>
        <v>0</v>
      </c>
      <c r="AB102">
        <f t="shared" si="11"/>
        <v>0</v>
      </c>
      <c r="AC102">
        <f t="shared" si="11"/>
        <v>0</v>
      </c>
      <c r="AD102">
        <f t="shared" si="11"/>
        <v>0</v>
      </c>
      <c r="AE102">
        <f t="shared" si="11"/>
        <v>0</v>
      </c>
      <c r="AF102">
        <f t="shared" si="10"/>
        <v>0</v>
      </c>
      <c r="AG102">
        <f t="shared" si="10"/>
        <v>0</v>
      </c>
      <c r="AH102">
        <f t="shared" si="10"/>
        <v>0</v>
      </c>
      <c r="AI102">
        <f t="shared" si="10"/>
        <v>0</v>
      </c>
      <c r="AJ102">
        <f t="shared" si="10"/>
        <v>0</v>
      </c>
      <c r="AK102">
        <f t="shared" si="10"/>
        <v>0</v>
      </c>
      <c r="AL102">
        <f t="shared" si="8"/>
        <v>0</v>
      </c>
    </row>
    <row r="103" spans="23:38" x14ac:dyDescent="0.25">
      <c r="W103">
        <f t="shared" si="9"/>
        <v>0</v>
      </c>
      <c r="X103">
        <f t="shared" si="11"/>
        <v>0</v>
      </c>
      <c r="Y103">
        <f t="shared" si="11"/>
        <v>0</v>
      </c>
      <c r="Z103">
        <f t="shared" si="11"/>
        <v>0</v>
      </c>
      <c r="AA103">
        <f t="shared" si="11"/>
        <v>0</v>
      </c>
      <c r="AB103">
        <f t="shared" si="11"/>
        <v>0</v>
      </c>
      <c r="AC103">
        <f t="shared" si="11"/>
        <v>0</v>
      </c>
      <c r="AD103">
        <f t="shared" si="11"/>
        <v>0</v>
      </c>
      <c r="AE103">
        <f t="shared" si="11"/>
        <v>0</v>
      </c>
      <c r="AF103">
        <f t="shared" si="10"/>
        <v>0</v>
      </c>
      <c r="AG103">
        <f t="shared" si="10"/>
        <v>0</v>
      </c>
      <c r="AH103">
        <f t="shared" si="10"/>
        <v>0</v>
      </c>
      <c r="AI103">
        <f t="shared" si="10"/>
        <v>0</v>
      </c>
      <c r="AJ103">
        <f t="shared" si="10"/>
        <v>0</v>
      </c>
      <c r="AK103">
        <f t="shared" si="10"/>
        <v>0</v>
      </c>
      <c r="AL103">
        <f t="shared" si="8"/>
        <v>0</v>
      </c>
    </row>
    <row r="104" spans="23:38" x14ac:dyDescent="0.25">
      <c r="W104">
        <f t="shared" si="9"/>
        <v>0</v>
      </c>
      <c r="X104">
        <f t="shared" si="11"/>
        <v>0</v>
      </c>
      <c r="Y104">
        <f t="shared" si="11"/>
        <v>0</v>
      </c>
      <c r="Z104">
        <f t="shared" si="11"/>
        <v>0</v>
      </c>
      <c r="AA104">
        <f t="shared" si="11"/>
        <v>0</v>
      </c>
      <c r="AB104">
        <f t="shared" si="11"/>
        <v>0</v>
      </c>
      <c r="AC104">
        <f t="shared" si="11"/>
        <v>0</v>
      </c>
      <c r="AD104">
        <f t="shared" si="11"/>
        <v>0</v>
      </c>
      <c r="AE104">
        <f t="shared" si="11"/>
        <v>0</v>
      </c>
      <c r="AF104">
        <f t="shared" si="10"/>
        <v>0</v>
      </c>
      <c r="AG104">
        <f t="shared" si="10"/>
        <v>0</v>
      </c>
      <c r="AH104">
        <f t="shared" si="10"/>
        <v>0</v>
      </c>
      <c r="AI104">
        <f t="shared" si="10"/>
        <v>0</v>
      </c>
      <c r="AJ104">
        <f t="shared" si="10"/>
        <v>0</v>
      </c>
      <c r="AK104">
        <f t="shared" si="10"/>
        <v>0</v>
      </c>
      <c r="AL104">
        <f t="shared" si="8"/>
        <v>0</v>
      </c>
    </row>
    <row r="105" spans="23:38" x14ac:dyDescent="0.25">
      <c r="W105">
        <f t="shared" si="9"/>
        <v>0</v>
      </c>
      <c r="X105">
        <f t="shared" si="11"/>
        <v>0</v>
      </c>
      <c r="Y105">
        <f t="shared" si="11"/>
        <v>0</v>
      </c>
      <c r="Z105">
        <f t="shared" si="11"/>
        <v>0</v>
      </c>
      <c r="AA105">
        <f t="shared" si="11"/>
        <v>0</v>
      </c>
      <c r="AB105">
        <f t="shared" si="11"/>
        <v>0</v>
      </c>
      <c r="AC105">
        <f t="shared" si="11"/>
        <v>0</v>
      </c>
      <c r="AD105">
        <f t="shared" si="11"/>
        <v>0</v>
      </c>
      <c r="AE105">
        <f t="shared" si="11"/>
        <v>0</v>
      </c>
      <c r="AF105">
        <f t="shared" si="10"/>
        <v>0</v>
      </c>
      <c r="AG105">
        <f t="shared" si="10"/>
        <v>0</v>
      </c>
      <c r="AH105">
        <f t="shared" si="10"/>
        <v>0</v>
      </c>
      <c r="AI105">
        <f t="shared" si="10"/>
        <v>0</v>
      </c>
      <c r="AJ105">
        <f t="shared" si="10"/>
        <v>0</v>
      </c>
      <c r="AK105">
        <f t="shared" si="10"/>
        <v>0</v>
      </c>
      <c r="AL105">
        <f t="shared" si="8"/>
        <v>0</v>
      </c>
    </row>
    <row r="106" spans="23:38" x14ac:dyDescent="0.25">
      <c r="W106">
        <f t="shared" si="9"/>
        <v>0</v>
      </c>
      <c r="X106">
        <f t="shared" si="11"/>
        <v>0</v>
      </c>
      <c r="Y106">
        <f t="shared" si="11"/>
        <v>0</v>
      </c>
      <c r="Z106">
        <f t="shared" si="11"/>
        <v>0</v>
      </c>
      <c r="AA106">
        <f t="shared" si="11"/>
        <v>0</v>
      </c>
      <c r="AB106">
        <f t="shared" si="11"/>
        <v>0</v>
      </c>
      <c r="AC106">
        <f t="shared" si="11"/>
        <v>0</v>
      </c>
      <c r="AD106">
        <f t="shared" si="11"/>
        <v>0</v>
      </c>
      <c r="AE106">
        <f t="shared" si="11"/>
        <v>0</v>
      </c>
      <c r="AF106">
        <f t="shared" si="11"/>
        <v>0</v>
      </c>
      <c r="AG106">
        <f t="shared" si="11"/>
        <v>0</v>
      </c>
      <c r="AH106">
        <f t="shared" si="11"/>
        <v>0</v>
      </c>
      <c r="AI106">
        <f t="shared" si="11"/>
        <v>0</v>
      </c>
      <c r="AJ106">
        <f t="shared" si="11"/>
        <v>0</v>
      </c>
      <c r="AK106">
        <f t="shared" si="11"/>
        <v>0</v>
      </c>
      <c r="AL106">
        <f t="shared" si="8"/>
        <v>0</v>
      </c>
    </row>
    <row r="107" spans="23:38" x14ac:dyDescent="0.25">
      <c r="W107">
        <f t="shared" si="9"/>
        <v>0</v>
      </c>
      <c r="X107">
        <f t="shared" si="11"/>
        <v>0</v>
      </c>
      <c r="Y107">
        <f t="shared" si="11"/>
        <v>0</v>
      </c>
      <c r="Z107">
        <f t="shared" si="11"/>
        <v>0</v>
      </c>
      <c r="AA107">
        <f t="shared" si="11"/>
        <v>0</v>
      </c>
      <c r="AB107">
        <f t="shared" si="11"/>
        <v>0</v>
      </c>
      <c r="AC107">
        <f t="shared" si="11"/>
        <v>0</v>
      </c>
      <c r="AD107">
        <f t="shared" si="11"/>
        <v>0</v>
      </c>
      <c r="AE107">
        <f t="shared" si="11"/>
        <v>0</v>
      </c>
      <c r="AF107">
        <f t="shared" si="11"/>
        <v>0</v>
      </c>
      <c r="AG107">
        <f t="shared" si="11"/>
        <v>0</v>
      </c>
      <c r="AH107">
        <f t="shared" si="11"/>
        <v>0</v>
      </c>
      <c r="AI107">
        <f t="shared" si="11"/>
        <v>0</v>
      </c>
      <c r="AJ107">
        <f t="shared" si="11"/>
        <v>0</v>
      </c>
      <c r="AK107">
        <f t="shared" si="11"/>
        <v>0</v>
      </c>
      <c r="AL107">
        <f t="shared" si="8"/>
        <v>0</v>
      </c>
    </row>
    <row r="108" spans="23:38" x14ac:dyDescent="0.25">
      <c r="W108">
        <f t="shared" si="9"/>
        <v>0</v>
      </c>
      <c r="X108">
        <f t="shared" si="11"/>
        <v>0</v>
      </c>
      <c r="Y108">
        <f t="shared" si="11"/>
        <v>0</v>
      </c>
      <c r="Z108">
        <f t="shared" si="11"/>
        <v>0</v>
      </c>
      <c r="AA108">
        <f t="shared" si="11"/>
        <v>0</v>
      </c>
      <c r="AB108">
        <f t="shared" si="11"/>
        <v>0</v>
      </c>
      <c r="AC108">
        <f t="shared" si="11"/>
        <v>0</v>
      </c>
      <c r="AD108">
        <f t="shared" si="11"/>
        <v>0</v>
      </c>
      <c r="AE108">
        <f t="shared" si="11"/>
        <v>0</v>
      </c>
      <c r="AF108">
        <f t="shared" si="11"/>
        <v>0</v>
      </c>
      <c r="AG108">
        <f t="shared" si="11"/>
        <v>0</v>
      </c>
      <c r="AH108">
        <f t="shared" si="11"/>
        <v>0</v>
      </c>
      <c r="AI108">
        <f t="shared" si="11"/>
        <v>0</v>
      </c>
      <c r="AJ108">
        <f t="shared" si="11"/>
        <v>0</v>
      </c>
      <c r="AK108">
        <f t="shared" si="11"/>
        <v>0</v>
      </c>
      <c r="AL108">
        <f t="shared" si="8"/>
        <v>0</v>
      </c>
    </row>
    <row r="109" spans="23:38" x14ac:dyDescent="0.25">
      <c r="W109">
        <f t="shared" si="9"/>
        <v>0</v>
      </c>
      <c r="X109">
        <f t="shared" si="11"/>
        <v>0</v>
      </c>
      <c r="Y109">
        <f t="shared" si="11"/>
        <v>0</v>
      </c>
      <c r="Z109">
        <f t="shared" si="11"/>
        <v>0</v>
      </c>
      <c r="AA109">
        <f t="shared" si="11"/>
        <v>0</v>
      </c>
      <c r="AB109">
        <f t="shared" si="11"/>
        <v>0</v>
      </c>
      <c r="AC109">
        <f t="shared" si="11"/>
        <v>0</v>
      </c>
      <c r="AD109">
        <f t="shared" si="11"/>
        <v>0</v>
      </c>
      <c r="AE109">
        <f t="shared" si="11"/>
        <v>0</v>
      </c>
      <c r="AF109">
        <f t="shared" si="11"/>
        <v>0</v>
      </c>
      <c r="AG109">
        <f t="shared" si="11"/>
        <v>0</v>
      </c>
      <c r="AH109">
        <f t="shared" si="11"/>
        <v>0</v>
      </c>
      <c r="AI109">
        <f t="shared" si="11"/>
        <v>0</v>
      </c>
      <c r="AJ109">
        <f t="shared" si="11"/>
        <v>0</v>
      </c>
      <c r="AK109">
        <f t="shared" si="11"/>
        <v>0</v>
      </c>
      <c r="AL109">
        <f t="shared" si="8"/>
        <v>0</v>
      </c>
    </row>
    <row r="110" spans="23:38" x14ac:dyDescent="0.25">
      <c r="W110">
        <f t="shared" si="9"/>
        <v>0</v>
      </c>
      <c r="X110">
        <f t="shared" si="11"/>
        <v>0</v>
      </c>
      <c r="Y110">
        <f t="shared" si="11"/>
        <v>0</v>
      </c>
      <c r="Z110">
        <f t="shared" si="11"/>
        <v>0</v>
      </c>
      <c r="AA110">
        <f t="shared" si="11"/>
        <v>0</v>
      </c>
      <c r="AB110">
        <f t="shared" si="11"/>
        <v>0</v>
      </c>
      <c r="AC110">
        <f t="shared" si="11"/>
        <v>0</v>
      </c>
      <c r="AD110">
        <f t="shared" si="11"/>
        <v>0</v>
      </c>
      <c r="AE110">
        <f t="shared" si="11"/>
        <v>0</v>
      </c>
      <c r="AF110">
        <f t="shared" si="11"/>
        <v>0</v>
      </c>
      <c r="AG110">
        <f t="shared" si="11"/>
        <v>0</v>
      </c>
      <c r="AH110">
        <f t="shared" si="11"/>
        <v>0</v>
      </c>
      <c r="AI110">
        <f t="shared" si="11"/>
        <v>0</v>
      </c>
      <c r="AJ110">
        <f t="shared" si="11"/>
        <v>0</v>
      </c>
      <c r="AK110">
        <f t="shared" si="11"/>
        <v>0</v>
      </c>
      <c r="AL110">
        <f t="shared" si="8"/>
        <v>0</v>
      </c>
    </row>
    <row r="111" spans="23:38" x14ac:dyDescent="0.25">
      <c r="W111">
        <f t="shared" si="9"/>
        <v>0</v>
      </c>
      <c r="X111">
        <f t="shared" si="11"/>
        <v>0</v>
      </c>
      <c r="Y111">
        <f t="shared" si="11"/>
        <v>0</v>
      </c>
      <c r="Z111">
        <f t="shared" si="11"/>
        <v>0</v>
      </c>
      <c r="AA111">
        <f t="shared" si="11"/>
        <v>0</v>
      </c>
      <c r="AB111">
        <f t="shared" si="11"/>
        <v>0</v>
      </c>
      <c r="AC111">
        <f t="shared" si="11"/>
        <v>0</v>
      </c>
      <c r="AD111">
        <f t="shared" si="11"/>
        <v>0</v>
      </c>
      <c r="AE111">
        <f t="shared" si="11"/>
        <v>0</v>
      </c>
      <c r="AF111">
        <f t="shared" si="11"/>
        <v>0</v>
      </c>
      <c r="AG111">
        <f t="shared" si="11"/>
        <v>0</v>
      </c>
      <c r="AH111">
        <f t="shared" si="11"/>
        <v>0</v>
      </c>
      <c r="AI111">
        <f t="shared" si="11"/>
        <v>0</v>
      </c>
      <c r="AJ111">
        <f t="shared" si="11"/>
        <v>0</v>
      </c>
      <c r="AK111">
        <f t="shared" si="11"/>
        <v>0</v>
      </c>
      <c r="AL111">
        <f t="shared" si="8"/>
        <v>0</v>
      </c>
    </row>
    <row r="112" spans="23:38" x14ac:dyDescent="0.25">
      <c r="W112">
        <f t="shared" si="9"/>
        <v>0</v>
      </c>
      <c r="X112">
        <f t="shared" si="11"/>
        <v>0</v>
      </c>
      <c r="Y112">
        <f t="shared" si="11"/>
        <v>0</v>
      </c>
      <c r="Z112">
        <f t="shared" si="11"/>
        <v>0</v>
      </c>
      <c r="AA112">
        <f t="shared" si="11"/>
        <v>0</v>
      </c>
      <c r="AB112">
        <f t="shared" si="11"/>
        <v>0</v>
      </c>
      <c r="AC112">
        <f t="shared" si="11"/>
        <v>0</v>
      </c>
      <c r="AD112">
        <f t="shared" si="11"/>
        <v>0</v>
      </c>
      <c r="AE112">
        <f t="shared" si="11"/>
        <v>0</v>
      </c>
      <c r="AF112">
        <f t="shared" si="11"/>
        <v>0</v>
      </c>
      <c r="AG112">
        <f t="shared" si="11"/>
        <v>0</v>
      </c>
      <c r="AH112">
        <f t="shared" si="11"/>
        <v>0</v>
      </c>
      <c r="AI112">
        <f t="shared" si="11"/>
        <v>0</v>
      </c>
      <c r="AJ112">
        <f t="shared" si="11"/>
        <v>0</v>
      </c>
      <c r="AK112">
        <f t="shared" si="11"/>
        <v>0</v>
      </c>
      <c r="AL112">
        <f t="shared" si="8"/>
        <v>0</v>
      </c>
    </row>
    <row r="113" spans="23:38" x14ac:dyDescent="0.25">
      <c r="W113">
        <f t="shared" si="9"/>
        <v>0</v>
      </c>
      <c r="X113">
        <f t="shared" si="11"/>
        <v>0</v>
      </c>
      <c r="Y113">
        <f t="shared" si="11"/>
        <v>0</v>
      </c>
      <c r="Z113">
        <f t="shared" si="11"/>
        <v>0</v>
      </c>
      <c r="AA113">
        <f t="shared" si="11"/>
        <v>0</v>
      </c>
      <c r="AB113">
        <f t="shared" si="11"/>
        <v>0</v>
      </c>
      <c r="AC113">
        <f t="shared" si="11"/>
        <v>0</v>
      </c>
      <c r="AD113">
        <f t="shared" si="11"/>
        <v>0</v>
      </c>
      <c r="AE113">
        <f t="shared" si="11"/>
        <v>0</v>
      </c>
      <c r="AF113">
        <f t="shared" si="11"/>
        <v>0</v>
      </c>
      <c r="AG113">
        <f t="shared" si="11"/>
        <v>0</v>
      </c>
      <c r="AH113">
        <f t="shared" si="11"/>
        <v>0</v>
      </c>
      <c r="AI113">
        <f t="shared" si="11"/>
        <v>0</v>
      </c>
      <c r="AJ113">
        <f t="shared" si="11"/>
        <v>0</v>
      </c>
      <c r="AK113">
        <f t="shared" ref="AK113:AK167" si="12">_xlfn.IFNA(LOOKUP(O113,$T$6:$T$25,$U$6:$U$25),0)+COUNTIF(O$1:O$3,$W113)</f>
        <v>0</v>
      </c>
      <c r="AL113">
        <f t="shared" si="8"/>
        <v>0</v>
      </c>
    </row>
    <row r="114" spans="23:38" x14ac:dyDescent="0.25">
      <c r="W114">
        <f t="shared" si="9"/>
        <v>0</v>
      </c>
      <c r="X114">
        <f t="shared" ref="X114:AJ145" si="13">_xlfn.IFNA(LOOKUP(B114,$T$6:$T$25,$U$6:$U$25),0)+COUNTIF(B$1:B$3,$W114)</f>
        <v>0</v>
      </c>
      <c r="Y114">
        <f t="shared" si="13"/>
        <v>0</v>
      </c>
      <c r="Z114">
        <f t="shared" si="13"/>
        <v>0</v>
      </c>
      <c r="AA114">
        <f t="shared" si="13"/>
        <v>0</v>
      </c>
      <c r="AB114">
        <f t="shared" si="13"/>
        <v>0</v>
      </c>
      <c r="AC114">
        <f t="shared" si="13"/>
        <v>0</v>
      </c>
      <c r="AD114">
        <f t="shared" si="13"/>
        <v>0</v>
      </c>
      <c r="AE114">
        <f t="shared" si="13"/>
        <v>0</v>
      </c>
      <c r="AF114">
        <f t="shared" si="13"/>
        <v>0</v>
      </c>
      <c r="AG114">
        <f t="shared" si="13"/>
        <v>0</v>
      </c>
      <c r="AH114">
        <f t="shared" si="13"/>
        <v>0</v>
      </c>
      <c r="AI114">
        <f t="shared" si="13"/>
        <v>0</v>
      </c>
      <c r="AJ114">
        <f t="shared" si="13"/>
        <v>0</v>
      </c>
      <c r="AK114">
        <f t="shared" si="12"/>
        <v>0</v>
      </c>
      <c r="AL114">
        <f t="shared" si="8"/>
        <v>0</v>
      </c>
    </row>
    <row r="115" spans="23:38" x14ac:dyDescent="0.25">
      <c r="W115">
        <f t="shared" si="9"/>
        <v>0</v>
      </c>
      <c r="X115">
        <f t="shared" si="13"/>
        <v>0</v>
      </c>
      <c r="Y115">
        <f t="shared" si="13"/>
        <v>0</v>
      </c>
      <c r="Z115">
        <f t="shared" si="13"/>
        <v>0</v>
      </c>
      <c r="AA115">
        <f t="shared" si="13"/>
        <v>0</v>
      </c>
      <c r="AB115">
        <f t="shared" si="13"/>
        <v>0</v>
      </c>
      <c r="AC115">
        <f t="shared" si="13"/>
        <v>0</v>
      </c>
      <c r="AD115">
        <f t="shared" si="13"/>
        <v>0</v>
      </c>
      <c r="AE115">
        <f t="shared" si="13"/>
        <v>0</v>
      </c>
      <c r="AF115">
        <f t="shared" si="13"/>
        <v>0</v>
      </c>
      <c r="AG115">
        <f t="shared" si="13"/>
        <v>0</v>
      </c>
      <c r="AH115">
        <f t="shared" si="13"/>
        <v>0</v>
      </c>
      <c r="AI115">
        <f t="shared" si="13"/>
        <v>0</v>
      </c>
      <c r="AJ115">
        <f t="shared" si="13"/>
        <v>0</v>
      </c>
      <c r="AK115">
        <f t="shared" si="12"/>
        <v>0</v>
      </c>
      <c r="AL115">
        <f t="shared" si="8"/>
        <v>0</v>
      </c>
    </row>
    <row r="116" spans="23:38" x14ac:dyDescent="0.25">
      <c r="W116">
        <f t="shared" si="9"/>
        <v>0</v>
      </c>
      <c r="X116">
        <f t="shared" si="13"/>
        <v>0</v>
      </c>
      <c r="Y116">
        <f t="shared" si="13"/>
        <v>0</v>
      </c>
      <c r="Z116">
        <f t="shared" si="13"/>
        <v>0</v>
      </c>
      <c r="AA116">
        <f t="shared" si="13"/>
        <v>0</v>
      </c>
      <c r="AB116">
        <f t="shared" si="13"/>
        <v>0</v>
      </c>
      <c r="AC116">
        <f t="shared" si="13"/>
        <v>0</v>
      </c>
      <c r="AD116">
        <f t="shared" si="13"/>
        <v>0</v>
      </c>
      <c r="AE116">
        <f t="shared" si="13"/>
        <v>0</v>
      </c>
      <c r="AF116">
        <f t="shared" si="13"/>
        <v>0</v>
      </c>
      <c r="AG116">
        <f t="shared" si="13"/>
        <v>0</v>
      </c>
      <c r="AH116">
        <f t="shared" si="13"/>
        <v>0</v>
      </c>
      <c r="AI116">
        <f t="shared" si="13"/>
        <v>0</v>
      </c>
      <c r="AJ116">
        <f t="shared" si="13"/>
        <v>0</v>
      </c>
      <c r="AK116">
        <f t="shared" si="12"/>
        <v>0</v>
      </c>
      <c r="AL116">
        <f t="shared" si="8"/>
        <v>0</v>
      </c>
    </row>
    <row r="117" spans="23:38" x14ac:dyDescent="0.25">
      <c r="W117">
        <f t="shared" si="9"/>
        <v>0</v>
      </c>
      <c r="X117">
        <f t="shared" si="13"/>
        <v>0</v>
      </c>
      <c r="Y117">
        <f t="shared" si="13"/>
        <v>0</v>
      </c>
      <c r="Z117">
        <f t="shared" si="13"/>
        <v>0</v>
      </c>
      <c r="AA117">
        <f t="shared" si="13"/>
        <v>0</v>
      </c>
      <c r="AB117">
        <f t="shared" si="13"/>
        <v>0</v>
      </c>
      <c r="AC117">
        <f t="shared" si="13"/>
        <v>0</v>
      </c>
      <c r="AD117">
        <f t="shared" si="13"/>
        <v>0</v>
      </c>
      <c r="AE117">
        <f t="shared" si="13"/>
        <v>0</v>
      </c>
      <c r="AF117">
        <f t="shared" si="13"/>
        <v>0</v>
      </c>
      <c r="AG117">
        <f t="shared" si="13"/>
        <v>0</v>
      </c>
      <c r="AH117">
        <f t="shared" si="13"/>
        <v>0</v>
      </c>
      <c r="AI117">
        <f t="shared" si="13"/>
        <v>0</v>
      </c>
      <c r="AJ117">
        <f t="shared" si="13"/>
        <v>0</v>
      </c>
      <c r="AK117">
        <f t="shared" si="12"/>
        <v>0</v>
      </c>
      <c r="AL117">
        <f t="shared" si="8"/>
        <v>0</v>
      </c>
    </row>
    <row r="118" spans="23:38" x14ac:dyDescent="0.25">
      <c r="W118">
        <f t="shared" si="9"/>
        <v>0</v>
      </c>
      <c r="X118">
        <f t="shared" si="13"/>
        <v>0</v>
      </c>
      <c r="Y118">
        <f t="shared" si="13"/>
        <v>0</v>
      </c>
      <c r="Z118">
        <f t="shared" si="13"/>
        <v>0</v>
      </c>
      <c r="AA118">
        <f t="shared" si="13"/>
        <v>0</v>
      </c>
      <c r="AB118">
        <f t="shared" si="13"/>
        <v>0</v>
      </c>
      <c r="AC118">
        <f t="shared" si="13"/>
        <v>0</v>
      </c>
      <c r="AD118">
        <f t="shared" si="13"/>
        <v>0</v>
      </c>
      <c r="AE118">
        <f t="shared" si="13"/>
        <v>0</v>
      </c>
      <c r="AF118">
        <f t="shared" si="13"/>
        <v>0</v>
      </c>
      <c r="AG118">
        <f t="shared" si="13"/>
        <v>0</v>
      </c>
      <c r="AH118">
        <f t="shared" si="13"/>
        <v>0</v>
      </c>
      <c r="AI118">
        <f t="shared" si="13"/>
        <v>0</v>
      </c>
      <c r="AJ118">
        <f t="shared" si="13"/>
        <v>0</v>
      </c>
      <c r="AK118">
        <f t="shared" si="12"/>
        <v>0</v>
      </c>
      <c r="AL118">
        <f t="shared" si="8"/>
        <v>0</v>
      </c>
    </row>
    <row r="119" spans="23:38" x14ac:dyDescent="0.25">
      <c r="W119">
        <f t="shared" si="9"/>
        <v>0</v>
      </c>
      <c r="X119">
        <f t="shared" si="13"/>
        <v>0</v>
      </c>
      <c r="Y119">
        <f t="shared" si="13"/>
        <v>0</v>
      </c>
      <c r="Z119">
        <f t="shared" si="13"/>
        <v>0</v>
      </c>
      <c r="AA119">
        <f t="shared" si="13"/>
        <v>0</v>
      </c>
      <c r="AB119">
        <f t="shared" si="13"/>
        <v>0</v>
      </c>
      <c r="AC119">
        <f t="shared" si="13"/>
        <v>0</v>
      </c>
      <c r="AD119">
        <f t="shared" si="13"/>
        <v>0</v>
      </c>
      <c r="AE119">
        <f t="shared" si="13"/>
        <v>0</v>
      </c>
      <c r="AF119">
        <f t="shared" si="13"/>
        <v>0</v>
      </c>
      <c r="AG119">
        <f t="shared" si="13"/>
        <v>0</v>
      </c>
      <c r="AH119">
        <f t="shared" si="13"/>
        <v>0</v>
      </c>
      <c r="AI119">
        <f t="shared" si="13"/>
        <v>0</v>
      </c>
      <c r="AJ119">
        <f t="shared" si="13"/>
        <v>0</v>
      </c>
      <c r="AK119">
        <f t="shared" si="12"/>
        <v>0</v>
      </c>
      <c r="AL119">
        <f t="shared" si="8"/>
        <v>0</v>
      </c>
    </row>
    <row r="120" spans="23:38" x14ac:dyDescent="0.25">
      <c r="W120">
        <f t="shared" si="9"/>
        <v>0</v>
      </c>
      <c r="X120">
        <f t="shared" si="13"/>
        <v>0</v>
      </c>
      <c r="Y120">
        <f t="shared" si="13"/>
        <v>0</v>
      </c>
      <c r="Z120">
        <f t="shared" si="13"/>
        <v>0</v>
      </c>
      <c r="AA120">
        <f t="shared" si="13"/>
        <v>0</v>
      </c>
      <c r="AB120">
        <f t="shared" si="13"/>
        <v>0</v>
      </c>
      <c r="AC120">
        <f t="shared" si="13"/>
        <v>0</v>
      </c>
      <c r="AD120">
        <f t="shared" si="13"/>
        <v>0</v>
      </c>
      <c r="AE120">
        <f t="shared" si="13"/>
        <v>0</v>
      </c>
      <c r="AF120">
        <f t="shared" si="13"/>
        <v>0</v>
      </c>
      <c r="AG120">
        <f t="shared" si="13"/>
        <v>0</v>
      </c>
      <c r="AH120">
        <f t="shared" si="13"/>
        <v>0</v>
      </c>
      <c r="AI120">
        <f t="shared" si="13"/>
        <v>0</v>
      </c>
      <c r="AJ120">
        <f t="shared" si="13"/>
        <v>0</v>
      </c>
      <c r="AK120">
        <f t="shared" si="12"/>
        <v>0</v>
      </c>
      <c r="AL120">
        <f t="shared" si="8"/>
        <v>0</v>
      </c>
    </row>
    <row r="121" spans="23:38" x14ac:dyDescent="0.25">
      <c r="W121">
        <f t="shared" si="9"/>
        <v>0</v>
      </c>
      <c r="X121">
        <f t="shared" si="13"/>
        <v>0</v>
      </c>
      <c r="Y121">
        <f t="shared" si="13"/>
        <v>0</v>
      </c>
      <c r="Z121">
        <f t="shared" si="13"/>
        <v>0</v>
      </c>
      <c r="AA121">
        <f t="shared" si="13"/>
        <v>0</v>
      </c>
      <c r="AB121">
        <f t="shared" si="13"/>
        <v>0</v>
      </c>
      <c r="AC121">
        <f t="shared" si="13"/>
        <v>0</v>
      </c>
      <c r="AD121">
        <f t="shared" si="13"/>
        <v>0</v>
      </c>
      <c r="AE121">
        <f t="shared" si="13"/>
        <v>0</v>
      </c>
      <c r="AF121">
        <f t="shared" si="13"/>
        <v>0</v>
      </c>
      <c r="AG121">
        <f t="shared" si="13"/>
        <v>0</v>
      </c>
      <c r="AH121">
        <f t="shared" si="13"/>
        <v>0</v>
      </c>
      <c r="AI121">
        <f t="shared" si="13"/>
        <v>0</v>
      </c>
      <c r="AJ121">
        <f t="shared" si="13"/>
        <v>0</v>
      </c>
      <c r="AK121">
        <f t="shared" si="12"/>
        <v>0</v>
      </c>
      <c r="AL121">
        <f t="shared" si="8"/>
        <v>0</v>
      </c>
    </row>
    <row r="122" spans="23:38" x14ac:dyDescent="0.25">
      <c r="W122">
        <f t="shared" si="9"/>
        <v>0</v>
      </c>
      <c r="X122">
        <f t="shared" si="13"/>
        <v>0</v>
      </c>
      <c r="Y122">
        <f t="shared" si="13"/>
        <v>0</v>
      </c>
      <c r="Z122">
        <f t="shared" si="13"/>
        <v>0</v>
      </c>
      <c r="AA122">
        <f t="shared" si="13"/>
        <v>0</v>
      </c>
      <c r="AB122">
        <f t="shared" si="13"/>
        <v>0</v>
      </c>
      <c r="AC122">
        <f t="shared" si="13"/>
        <v>0</v>
      </c>
      <c r="AD122">
        <f t="shared" si="13"/>
        <v>0</v>
      </c>
      <c r="AE122">
        <f t="shared" si="13"/>
        <v>0</v>
      </c>
      <c r="AF122">
        <f t="shared" si="13"/>
        <v>0</v>
      </c>
      <c r="AG122">
        <f t="shared" si="13"/>
        <v>0</v>
      </c>
      <c r="AH122">
        <f t="shared" si="13"/>
        <v>0</v>
      </c>
      <c r="AI122">
        <f t="shared" si="13"/>
        <v>0</v>
      </c>
      <c r="AJ122">
        <f t="shared" si="13"/>
        <v>0</v>
      </c>
      <c r="AK122">
        <f t="shared" si="12"/>
        <v>0</v>
      </c>
      <c r="AL122">
        <f t="shared" si="8"/>
        <v>0</v>
      </c>
    </row>
    <row r="123" spans="23:38" x14ac:dyDescent="0.25">
      <c r="W123">
        <f t="shared" si="9"/>
        <v>0</v>
      </c>
      <c r="X123">
        <f t="shared" si="13"/>
        <v>0</v>
      </c>
      <c r="Y123">
        <f t="shared" si="13"/>
        <v>0</v>
      </c>
      <c r="Z123">
        <f t="shared" si="13"/>
        <v>0</v>
      </c>
      <c r="AA123">
        <f t="shared" si="13"/>
        <v>0</v>
      </c>
      <c r="AB123">
        <f t="shared" si="13"/>
        <v>0</v>
      </c>
      <c r="AC123">
        <f t="shared" si="13"/>
        <v>0</v>
      </c>
      <c r="AD123">
        <f t="shared" si="13"/>
        <v>0</v>
      </c>
      <c r="AE123">
        <f t="shared" si="13"/>
        <v>0</v>
      </c>
      <c r="AF123">
        <f t="shared" si="13"/>
        <v>0</v>
      </c>
      <c r="AG123">
        <f t="shared" si="13"/>
        <v>0</v>
      </c>
      <c r="AH123">
        <f t="shared" si="13"/>
        <v>0</v>
      </c>
      <c r="AI123">
        <f t="shared" si="13"/>
        <v>0</v>
      </c>
      <c r="AJ123">
        <f t="shared" si="13"/>
        <v>0</v>
      </c>
      <c r="AK123">
        <f t="shared" si="12"/>
        <v>0</v>
      </c>
      <c r="AL123">
        <f t="shared" si="8"/>
        <v>0</v>
      </c>
    </row>
    <row r="124" spans="23:38" x14ac:dyDescent="0.25">
      <c r="W124">
        <f t="shared" si="9"/>
        <v>0</v>
      </c>
      <c r="X124">
        <f t="shared" si="13"/>
        <v>0</v>
      </c>
      <c r="Y124">
        <f t="shared" si="13"/>
        <v>0</v>
      </c>
      <c r="Z124">
        <f t="shared" si="13"/>
        <v>0</v>
      </c>
      <c r="AA124">
        <f t="shared" si="13"/>
        <v>0</v>
      </c>
      <c r="AB124">
        <f t="shared" si="13"/>
        <v>0</v>
      </c>
      <c r="AC124">
        <f t="shared" si="13"/>
        <v>0</v>
      </c>
      <c r="AD124">
        <f t="shared" si="13"/>
        <v>0</v>
      </c>
      <c r="AE124">
        <f t="shared" si="13"/>
        <v>0</v>
      </c>
      <c r="AF124">
        <f t="shared" si="13"/>
        <v>0</v>
      </c>
      <c r="AG124">
        <f t="shared" si="13"/>
        <v>0</v>
      </c>
      <c r="AH124">
        <f t="shared" si="13"/>
        <v>0</v>
      </c>
      <c r="AI124">
        <f t="shared" si="13"/>
        <v>0</v>
      </c>
      <c r="AJ124">
        <f t="shared" si="13"/>
        <v>0</v>
      </c>
      <c r="AK124">
        <f t="shared" si="12"/>
        <v>0</v>
      </c>
      <c r="AL124">
        <f t="shared" si="8"/>
        <v>0</v>
      </c>
    </row>
    <row r="125" spans="23:38" x14ac:dyDescent="0.25">
      <c r="W125">
        <f t="shared" si="9"/>
        <v>0</v>
      </c>
      <c r="X125">
        <f t="shared" si="13"/>
        <v>0</v>
      </c>
      <c r="Y125">
        <f t="shared" si="13"/>
        <v>0</v>
      </c>
      <c r="Z125">
        <f t="shared" si="13"/>
        <v>0</v>
      </c>
      <c r="AA125">
        <f t="shared" si="13"/>
        <v>0</v>
      </c>
      <c r="AB125">
        <f t="shared" si="13"/>
        <v>0</v>
      </c>
      <c r="AC125">
        <f t="shared" si="13"/>
        <v>0</v>
      </c>
      <c r="AD125">
        <f t="shared" si="13"/>
        <v>0</v>
      </c>
      <c r="AE125">
        <f t="shared" si="13"/>
        <v>0</v>
      </c>
      <c r="AF125">
        <f t="shared" si="13"/>
        <v>0</v>
      </c>
      <c r="AG125">
        <f t="shared" si="13"/>
        <v>0</v>
      </c>
      <c r="AH125">
        <f t="shared" si="13"/>
        <v>0</v>
      </c>
      <c r="AI125">
        <f t="shared" si="13"/>
        <v>0</v>
      </c>
      <c r="AJ125">
        <f t="shared" si="13"/>
        <v>0</v>
      </c>
      <c r="AK125">
        <f t="shared" si="12"/>
        <v>0</v>
      </c>
      <c r="AL125">
        <f t="shared" si="8"/>
        <v>0</v>
      </c>
    </row>
    <row r="126" spans="23:38" x14ac:dyDescent="0.25">
      <c r="W126">
        <f t="shared" si="9"/>
        <v>0</v>
      </c>
      <c r="X126">
        <f t="shared" si="13"/>
        <v>0</v>
      </c>
      <c r="Y126">
        <f t="shared" si="13"/>
        <v>0</v>
      </c>
      <c r="Z126">
        <f t="shared" si="13"/>
        <v>0</v>
      </c>
      <c r="AA126">
        <f t="shared" si="13"/>
        <v>0</v>
      </c>
      <c r="AB126">
        <f t="shared" si="13"/>
        <v>0</v>
      </c>
      <c r="AC126">
        <f t="shared" si="13"/>
        <v>0</v>
      </c>
      <c r="AD126">
        <f t="shared" si="13"/>
        <v>0</v>
      </c>
      <c r="AE126">
        <f t="shared" si="13"/>
        <v>0</v>
      </c>
      <c r="AF126">
        <f t="shared" si="13"/>
        <v>0</v>
      </c>
      <c r="AG126">
        <f t="shared" si="13"/>
        <v>0</v>
      </c>
      <c r="AH126">
        <f t="shared" si="13"/>
        <v>0</v>
      </c>
      <c r="AI126">
        <f t="shared" si="13"/>
        <v>0</v>
      </c>
      <c r="AJ126">
        <f t="shared" si="13"/>
        <v>0</v>
      </c>
      <c r="AK126">
        <f t="shared" si="12"/>
        <v>0</v>
      </c>
      <c r="AL126">
        <f t="shared" si="8"/>
        <v>0</v>
      </c>
    </row>
    <row r="127" spans="23:38" x14ac:dyDescent="0.25">
      <c r="W127">
        <f t="shared" si="9"/>
        <v>0</v>
      </c>
      <c r="X127">
        <f t="shared" si="13"/>
        <v>0</v>
      </c>
      <c r="Y127">
        <f t="shared" si="13"/>
        <v>0</v>
      </c>
      <c r="Z127">
        <f t="shared" si="13"/>
        <v>0</v>
      </c>
      <c r="AA127">
        <f t="shared" si="13"/>
        <v>0</v>
      </c>
      <c r="AB127">
        <f t="shared" si="13"/>
        <v>0</v>
      </c>
      <c r="AC127">
        <f t="shared" si="13"/>
        <v>0</v>
      </c>
      <c r="AD127">
        <f t="shared" si="13"/>
        <v>0</v>
      </c>
      <c r="AE127">
        <f t="shared" si="13"/>
        <v>0</v>
      </c>
      <c r="AF127">
        <f t="shared" si="13"/>
        <v>0</v>
      </c>
      <c r="AG127">
        <f t="shared" si="13"/>
        <v>0</v>
      </c>
      <c r="AH127">
        <f t="shared" si="13"/>
        <v>0</v>
      </c>
      <c r="AI127">
        <f t="shared" si="13"/>
        <v>0</v>
      </c>
      <c r="AJ127">
        <f t="shared" si="13"/>
        <v>0</v>
      </c>
      <c r="AK127">
        <f t="shared" si="12"/>
        <v>0</v>
      </c>
      <c r="AL127">
        <f t="shared" si="8"/>
        <v>0</v>
      </c>
    </row>
    <row r="128" spans="23:38" x14ac:dyDescent="0.25">
      <c r="W128">
        <f t="shared" si="9"/>
        <v>0</v>
      </c>
      <c r="X128">
        <f t="shared" si="13"/>
        <v>0</v>
      </c>
      <c r="Y128">
        <f t="shared" si="13"/>
        <v>0</v>
      </c>
      <c r="Z128">
        <f t="shared" si="13"/>
        <v>0</v>
      </c>
      <c r="AA128">
        <f t="shared" si="13"/>
        <v>0</v>
      </c>
      <c r="AB128">
        <f t="shared" si="13"/>
        <v>0</v>
      </c>
      <c r="AC128">
        <f t="shared" si="13"/>
        <v>0</v>
      </c>
      <c r="AD128">
        <f t="shared" si="13"/>
        <v>0</v>
      </c>
      <c r="AE128">
        <f t="shared" si="13"/>
        <v>0</v>
      </c>
      <c r="AF128">
        <f t="shared" si="13"/>
        <v>0</v>
      </c>
      <c r="AG128">
        <f t="shared" si="13"/>
        <v>0</v>
      </c>
      <c r="AH128">
        <f t="shared" si="13"/>
        <v>0</v>
      </c>
      <c r="AI128">
        <f t="shared" si="13"/>
        <v>0</v>
      </c>
      <c r="AJ128">
        <f t="shared" si="13"/>
        <v>0</v>
      </c>
      <c r="AK128">
        <f t="shared" si="12"/>
        <v>0</v>
      </c>
      <c r="AL128">
        <f t="shared" si="8"/>
        <v>0</v>
      </c>
    </row>
    <row r="129" spans="23:38" x14ac:dyDescent="0.25">
      <c r="W129">
        <f t="shared" si="9"/>
        <v>0</v>
      </c>
      <c r="X129">
        <f t="shared" si="13"/>
        <v>0</v>
      </c>
      <c r="Y129">
        <f t="shared" si="13"/>
        <v>0</v>
      </c>
      <c r="Z129">
        <f t="shared" si="13"/>
        <v>0</v>
      </c>
      <c r="AA129">
        <f t="shared" si="13"/>
        <v>0</v>
      </c>
      <c r="AB129">
        <f t="shared" si="13"/>
        <v>0</v>
      </c>
      <c r="AC129">
        <f t="shared" si="13"/>
        <v>0</v>
      </c>
      <c r="AD129">
        <f t="shared" si="13"/>
        <v>0</v>
      </c>
      <c r="AE129">
        <f t="shared" si="13"/>
        <v>0</v>
      </c>
      <c r="AF129">
        <f t="shared" si="13"/>
        <v>0</v>
      </c>
      <c r="AG129">
        <f t="shared" si="13"/>
        <v>0</v>
      </c>
      <c r="AH129">
        <f t="shared" si="13"/>
        <v>0</v>
      </c>
      <c r="AI129">
        <f t="shared" si="13"/>
        <v>0</v>
      </c>
      <c r="AJ129">
        <f t="shared" si="13"/>
        <v>0</v>
      </c>
      <c r="AK129">
        <f t="shared" si="12"/>
        <v>0</v>
      </c>
      <c r="AL129">
        <f t="shared" si="8"/>
        <v>0</v>
      </c>
    </row>
    <row r="130" spans="23:38" x14ac:dyDescent="0.25">
      <c r="W130">
        <f t="shared" si="9"/>
        <v>0</v>
      </c>
      <c r="X130">
        <f t="shared" si="13"/>
        <v>0</v>
      </c>
      <c r="Y130">
        <f t="shared" si="13"/>
        <v>0</v>
      </c>
      <c r="Z130">
        <f t="shared" si="13"/>
        <v>0</v>
      </c>
      <c r="AA130">
        <f t="shared" si="13"/>
        <v>0</v>
      </c>
      <c r="AB130">
        <f t="shared" si="13"/>
        <v>0</v>
      </c>
      <c r="AC130">
        <f t="shared" si="13"/>
        <v>0</v>
      </c>
      <c r="AD130">
        <f t="shared" si="13"/>
        <v>0</v>
      </c>
      <c r="AE130">
        <f t="shared" si="13"/>
        <v>0</v>
      </c>
      <c r="AF130">
        <f t="shared" si="13"/>
        <v>0</v>
      </c>
      <c r="AG130">
        <f t="shared" si="13"/>
        <v>0</v>
      </c>
      <c r="AH130">
        <f t="shared" si="13"/>
        <v>0</v>
      </c>
      <c r="AI130">
        <f t="shared" si="13"/>
        <v>0</v>
      </c>
      <c r="AJ130">
        <f t="shared" si="13"/>
        <v>0</v>
      </c>
      <c r="AK130">
        <f t="shared" si="12"/>
        <v>0</v>
      </c>
      <c r="AL130">
        <f t="shared" si="8"/>
        <v>0</v>
      </c>
    </row>
    <row r="131" spans="23:38" x14ac:dyDescent="0.25">
      <c r="W131">
        <f t="shared" si="9"/>
        <v>0</v>
      </c>
      <c r="X131">
        <f t="shared" si="13"/>
        <v>0</v>
      </c>
      <c r="Y131">
        <f t="shared" si="13"/>
        <v>0</v>
      </c>
      <c r="Z131">
        <f t="shared" si="13"/>
        <v>0</v>
      </c>
      <c r="AA131">
        <f t="shared" si="13"/>
        <v>0</v>
      </c>
      <c r="AB131">
        <f t="shared" si="13"/>
        <v>0</v>
      </c>
      <c r="AC131">
        <f t="shared" si="13"/>
        <v>0</v>
      </c>
      <c r="AD131">
        <f t="shared" si="13"/>
        <v>0</v>
      </c>
      <c r="AE131">
        <f t="shared" si="13"/>
        <v>0</v>
      </c>
      <c r="AF131">
        <f t="shared" si="13"/>
        <v>0</v>
      </c>
      <c r="AG131">
        <f t="shared" si="13"/>
        <v>0</v>
      </c>
      <c r="AH131">
        <f t="shared" si="13"/>
        <v>0</v>
      </c>
      <c r="AI131">
        <f t="shared" si="13"/>
        <v>0</v>
      </c>
      <c r="AJ131">
        <f t="shared" si="13"/>
        <v>0</v>
      </c>
      <c r="AK131">
        <f t="shared" si="12"/>
        <v>0</v>
      </c>
      <c r="AL131">
        <f t="shared" si="8"/>
        <v>0</v>
      </c>
    </row>
    <row r="132" spans="23:38" x14ac:dyDescent="0.25">
      <c r="W132">
        <f t="shared" si="9"/>
        <v>0</v>
      </c>
      <c r="X132">
        <f t="shared" si="13"/>
        <v>0</v>
      </c>
      <c r="Y132">
        <f t="shared" si="13"/>
        <v>0</v>
      </c>
      <c r="Z132">
        <f t="shared" si="13"/>
        <v>0</v>
      </c>
      <c r="AA132">
        <f t="shared" si="13"/>
        <v>0</v>
      </c>
      <c r="AB132">
        <f t="shared" si="13"/>
        <v>0</v>
      </c>
      <c r="AC132">
        <f t="shared" si="13"/>
        <v>0</v>
      </c>
      <c r="AD132">
        <f t="shared" si="13"/>
        <v>0</v>
      </c>
      <c r="AE132">
        <f t="shared" si="13"/>
        <v>0</v>
      </c>
      <c r="AF132">
        <f t="shared" si="13"/>
        <v>0</v>
      </c>
      <c r="AG132">
        <f t="shared" si="13"/>
        <v>0</v>
      </c>
      <c r="AH132">
        <f t="shared" si="13"/>
        <v>0</v>
      </c>
      <c r="AI132">
        <f t="shared" si="13"/>
        <v>0</v>
      </c>
      <c r="AJ132">
        <f t="shared" si="13"/>
        <v>0</v>
      </c>
      <c r="AK132">
        <f t="shared" si="12"/>
        <v>0</v>
      </c>
      <c r="AL132">
        <f t="shared" si="8"/>
        <v>0</v>
      </c>
    </row>
    <row r="133" spans="23:38" x14ac:dyDescent="0.25">
      <c r="W133">
        <f t="shared" si="9"/>
        <v>0</v>
      </c>
      <c r="X133">
        <f t="shared" si="13"/>
        <v>0</v>
      </c>
      <c r="Y133">
        <f t="shared" si="13"/>
        <v>0</v>
      </c>
      <c r="Z133">
        <f t="shared" si="13"/>
        <v>0</v>
      </c>
      <c r="AA133">
        <f t="shared" si="13"/>
        <v>0</v>
      </c>
      <c r="AB133">
        <f t="shared" si="13"/>
        <v>0</v>
      </c>
      <c r="AC133">
        <f t="shared" si="13"/>
        <v>0</v>
      </c>
      <c r="AD133">
        <f t="shared" si="13"/>
        <v>0</v>
      </c>
      <c r="AE133">
        <f t="shared" si="13"/>
        <v>0</v>
      </c>
      <c r="AF133">
        <f t="shared" ref="AF133:AJ167" si="14">_xlfn.IFNA(LOOKUP(J133,$T$6:$T$25,$U$6:$U$25),0)+COUNTIF(J$1:J$3,$W133)</f>
        <v>0</v>
      </c>
      <c r="AG133">
        <f t="shared" si="14"/>
        <v>0</v>
      </c>
      <c r="AH133">
        <f t="shared" si="14"/>
        <v>0</v>
      </c>
      <c r="AI133">
        <f t="shared" si="14"/>
        <v>0</v>
      </c>
      <c r="AJ133">
        <f t="shared" si="14"/>
        <v>0</v>
      </c>
      <c r="AK133">
        <f t="shared" si="12"/>
        <v>0</v>
      </c>
      <c r="AL133">
        <f t="shared" ref="AL133:AL169" si="15">SUM(X133:AK133)</f>
        <v>0</v>
      </c>
    </row>
    <row r="134" spans="23:38" x14ac:dyDescent="0.25">
      <c r="W134">
        <f t="shared" ref="W134:W169" si="16">A134</f>
        <v>0</v>
      </c>
      <c r="X134">
        <f t="shared" ref="X134:AE168" si="17">_xlfn.IFNA(LOOKUP(B134,$T$6:$T$25,$U$6:$U$25),0)+COUNTIF(B$1:B$3,$W134)</f>
        <v>0</v>
      </c>
      <c r="Y134">
        <f t="shared" si="17"/>
        <v>0</v>
      </c>
      <c r="Z134">
        <f t="shared" si="17"/>
        <v>0</v>
      </c>
      <c r="AA134">
        <f t="shared" si="17"/>
        <v>0</v>
      </c>
      <c r="AB134">
        <f t="shared" si="17"/>
        <v>0</v>
      </c>
      <c r="AC134">
        <f t="shared" si="17"/>
        <v>0</v>
      </c>
      <c r="AD134">
        <f t="shared" si="17"/>
        <v>0</v>
      </c>
      <c r="AE134">
        <f t="shared" si="17"/>
        <v>0</v>
      </c>
      <c r="AF134">
        <f t="shared" si="14"/>
        <v>0</v>
      </c>
      <c r="AG134">
        <f t="shared" si="14"/>
        <v>0</v>
      </c>
      <c r="AH134">
        <f t="shared" si="14"/>
        <v>0</v>
      </c>
      <c r="AI134">
        <f t="shared" si="14"/>
        <v>0</v>
      </c>
      <c r="AJ134">
        <f t="shared" si="14"/>
        <v>0</v>
      </c>
      <c r="AK134">
        <f t="shared" si="12"/>
        <v>0</v>
      </c>
      <c r="AL134">
        <f t="shared" si="15"/>
        <v>0</v>
      </c>
    </row>
    <row r="135" spans="23:38" x14ac:dyDescent="0.25">
      <c r="W135">
        <f t="shared" si="16"/>
        <v>0</v>
      </c>
      <c r="X135">
        <f t="shared" si="17"/>
        <v>0</v>
      </c>
      <c r="Y135">
        <f t="shared" si="17"/>
        <v>0</v>
      </c>
      <c r="Z135">
        <f t="shared" si="17"/>
        <v>0</v>
      </c>
      <c r="AA135">
        <f t="shared" si="17"/>
        <v>0</v>
      </c>
      <c r="AB135">
        <f t="shared" si="17"/>
        <v>0</v>
      </c>
      <c r="AC135">
        <f t="shared" si="17"/>
        <v>0</v>
      </c>
      <c r="AD135">
        <f t="shared" si="17"/>
        <v>0</v>
      </c>
      <c r="AE135">
        <f t="shared" si="17"/>
        <v>0</v>
      </c>
      <c r="AF135">
        <f t="shared" si="14"/>
        <v>0</v>
      </c>
      <c r="AG135">
        <f t="shared" si="14"/>
        <v>0</v>
      </c>
      <c r="AH135">
        <f t="shared" si="14"/>
        <v>0</v>
      </c>
      <c r="AI135">
        <f t="shared" si="14"/>
        <v>0</v>
      </c>
      <c r="AJ135">
        <f t="shared" si="14"/>
        <v>0</v>
      </c>
      <c r="AK135">
        <f t="shared" si="12"/>
        <v>0</v>
      </c>
      <c r="AL135">
        <f t="shared" si="15"/>
        <v>0</v>
      </c>
    </row>
    <row r="136" spans="23:38" x14ac:dyDescent="0.25">
      <c r="W136">
        <f t="shared" si="16"/>
        <v>0</v>
      </c>
      <c r="X136">
        <f t="shared" si="17"/>
        <v>0</v>
      </c>
      <c r="Y136">
        <f t="shared" si="17"/>
        <v>0</v>
      </c>
      <c r="Z136">
        <f t="shared" si="17"/>
        <v>0</v>
      </c>
      <c r="AA136">
        <f t="shared" si="17"/>
        <v>0</v>
      </c>
      <c r="AB136">
        <f t="shared" si="17"/>
        <v>0</v>
      </c>
      <c r="AC136">
        <f t="shared" si="17"/>
        <v>0</v>
      </c>
      <c r="AD136">
        <f t="shared" si="17"/>
        <v>0</v>
      </c>
      <c r="AE136">
        <f t="shared" si="17"/>
        <v>0</v>
      </c>
      <c r="AF136">
        <f t="shared" si="14"/>
        <v>0</v>
      </c>
      <c r="AG136">
        <f t="shared" si="14"/>
        <v>0</v>
      </c>
      <c r="AH136">
        <f t="shared" si="14"/>
        <v>0</v>
      </c>
      <c r="AI136">
        <f t="shared" si="14"/>
        <v>0</v>
      </c>
      <c r="AJ136">
        <f t="shared" si="14"/>
        <v>0</v>
      </c>
      <c r="AK136">
        <f t="shared" si="12"/>
        <v>0</v>
      </c>
      <c r="AL136">
        <f t="shared" si="15"/>
        <v>0</v>
      </c>
    </row>
    <row r="137" spans="23:38" x14ac:dyDescent="0.25">
      <c r="W137">
        <f t="shared" si="16"/>
        <v>0</v>
      </c>
      <c r="X137">
        <f t="shared" si="17"/>
        <v>0</v>
      </c>
      <c r="Y137">
        <f t="shared" si="17"/>
        <v>0</v>
      </c>
      <c r="Z137">
        <f t="shared" si="17"/>
        <v>0</v>
      </c>
      <c r="AA137">
        <f t="shared" si="17"/>
        <v>0</v>
      </c>
      <c r="AB137">
        <f t="shared" si="17"/>
        <v>0</v>
      </c>
      <c r="AC137">
        <f t="shared" si="17"/>
        <v>0</v>
      </c>
      <c r="AD137">
        <f t="shared" si="17"/>
        <v>0</v>
      </c>
      <c r="AE137">
        <f t="shared" si="17"/>
        <v>0</v>
      </c>
      <c r="AF137">
        <f t="shared" si="14"/>
        <v>0</v>
      </c>
      <c r="AG137">
        <f t="shared" si="14"/>
        <v>0</v>
      </c>
      <c r="AH137">
        <f t="shared" si="14"/>
        <v>0</v>
      </c>
      <c r="AI137">
        <f t="shared" si="14"/>
        <v>0</v>
      </c>
      <c r="AJ137">
        <f t="shared" si="14"/>
        <v>0</v>
      </c>
      <c r="AK137">
        <f t="shared" si="12"/>
        <v>0</v>
      </c>
      <c r="AL137">
        <f t="shared" si="15"/>
        <v>0</v>
      </c>
    </row>
    <row r="138" spans="23:38" x14ac:dyDescent="0.25">
      <c r="W138">
        <f t="shared" si="16"/>
        <v>0</v>
      </c>
      <c r="X138">
        <f t="shared" si="17"/>
        <v>0</v>
      </c>
      <c r="Y138">
        <f t="shared" si="17"/>
        <v>0</v>
      </c>
      <c r="Z138">
        <f t="shared" si="17"/>
        <v>0</v>
      </c>
      <c r="AA138">
        <f t="shared" si="17"/>
        <v>0</v>
      </c>
      <c r="AB138">
        <f t="shared" si="17"/>
        <v>0</v>
      </c>
      <c r="AC138">
        <f t="shared" si="17"/>
        <v>0</v>
      </c>
      <c r="AD138">
        <f t="shared" si="17"/>
        <v>0</v>
      </c>
      <c r="AE138">
        <f t="shared" si="17"/>
        <v>0</v>
      </c>
      <c r="AF138">
        <f t="shared" si="14"/>
        <v>0</v>
      </c>
      <c r="AG138">
        <f t="shared" si="14"/>
        <v>0</v>
      </c>
      <c r="AH138">
        <f t="shared" si="14"/>
        <v>0</v>
      </c>
      <c r="AI138">
        <f t="shared" si="14"/>
        <v>0</v>
      </c>
      <c r="AJ138">
        <f t="shared" si="14"/>
        <v>0</v>
      </c>
      <c r="AK138">
        <f t="shared" si="12"/>
        <v>0</v>
      </c>
      <c r="AL138">
        <f t="shared" si="15"/>
        <v>0</v>
      </c>
    </row>
    <row r="139" spans="23:38" x14ac:dyDescent="0.25">
      <c r="W139">
        <f t="shared" si="16"/>
        <v>0</v>
      </c>
      <c r="X139">
        <f t="shared" si="17"/>
        <v>0</v>
      </c>
      <c r="Y139">
        <f t="shared" si="17"/>
        <v>0</v>
      </c>
      <c r="Z139">
        <f t="shared" si="17"/>
        <v>0</v>
      </c>
      <c r="AA139">
        <f t="shared" si="17"/>
        <v>0</v>
      </c>
      <c r="AB139">
        <f t="shared" si="17"/>
        <v>0</v>
      </c>
      <c r="AC139">
        <f t="shared" si="17"/>
        <v>0</v>
      </c>
      <c r="AD139">
        <f t="shared" si="17"/>
        <v>0</v>
      </c>
      <c r="AE139">
        <f t="shared" si="17"/>
        <v>0</v>
      </c>
      <c r="AF139">
        <f t="shared" si="14"/>
        <v>0</v>
      </c>
      <c r="AG139">
        <f t="shared" si="14"/>
        <v>0</v>
      </c>
      <c r="AH139">
        <f t="shared" si="14"/>
        <v>0</v>
      </c>
      <c r="AI139">
        <f t="shared" si="14"/>
        <v>0</v>
      </c>
      <c r="AJ139">
        <f t="shared" si="14"/>
        <v>0</v>
      </c>
      <c r="AK139">
        <f t="shared" si="12"/>
        <v>0</v>
      </c>
      <c r="AL139">
        <f t="shared" si="15"/>
        <v>0</v>
      </c>
    </row>
    <row r="140" spans="23:38" x14ac:dyDescent="0.25">
      <c r="W140">
        <f t="shared" si="16"/>
        <v>0</v>
      </c>
      <c r="X140">
        <f t="shared" si="17"/>
        <v>0</v>
      </c>
      <c r="Y140">
        <f t="shared" si="17"/>
        <v>0</v>
      </c>
      <c r="Z140">
        <f t="shared" si="17"/>
        <v>0</v>
      </c>
      <c r="AA140">
        <f t="shared" si="17"/>
        <v>0</v>
      </c>
      <c r="AB140">
        <f t="shared" si="17"/>
        <v>0</v>
      </c>
      <c r="AC140">
        <f t="shared" si="17"/>
        <v>0</v>
      </c>
      <c r="AD140">
        <f t="shared" si="17"/>
        <v>0</v>
      </c>
      <c r="AE140">
        <f t="shared" si="17"/>
        <v>0</v>
      </c>
      <c r="AF140">
        <f t="shared" si="14"/>
        <v>0</v>
      </c>
      <c r="AG140">
        <f t="shared" si="14"/>
        <v>0</v>
      </c>
      <c r="AH140">
        <f t="shared" si="14"/>
        <v>0</v>
      </c>
      <c r="AI140">
        <f t="shared" si="14"/>
        <v>0</v>
      </c>
      <c r="AJ140">
        <f t="shared" si="14"/>
        <v>0</v>
      </c>
      <c r="AK140">
        <f t="shared" si="12"/>
        <v>0</v>
      </c>
      <c r="AL140">
        <f t="shared" si="15"/>
        <v>0</v>
      </c>
    </row>
    <row r="141" spans="23:38" x14ac:dyDescent="0.25">
      <c r="W141">
        <f t="shared" si="16"/>
        <v>0</v>
      </c>
      <c r="X141">
        <f t="shared" si="17"/>
        <v>0</v>
      </c>
      <c r="Y141">
        <f t="shared" si="17"/>
        <v>0</v>
      </c>
      <c r="Z141">
        <f t="shared" si="17"/>
        <v>0</v>
      </c>
      <c r="AA141">
        <f t="shared" si="17"/>
        <v>0</v>
      </c>
      <c r="AB141">
        <f t="shared" si="17"/>
        <v>0</v>
      </c>
      <c r="AC141">
        <f t="shared" si="17"/>
        <v>0</v>
      </c>
      <c r="AD141">
        <f t="shared" si="17"/>
        <v>0</v>
      </c>
      <c r="AE141">
        <f t="shared" si="17"/>
        <v>0</v>
      </c>
      <c r="AF141">
        <f t="shared" si="14"/>
        <v>0</v>
      </c>
      <c r="AG141">
        <f t="shared" si="14"/>
        <v>0</v>
      </c>
      <c r="AH141">
        <f t="shared" si="14"/>
        <v>0</v>
      </c>
      <c r="AI141">
        <f t="shared" si="14"/>
        <v>0</v>
      </c>
      <c r="AJ141">
        <f t="shared" si="14"/>
        <v>0</v>
      </c>
      <c r="AK141">
        <f t="shared" si="12"/>
        <v>0</v>
      </c>
      <c r="AL141">
        <f t="shared" si="15"/>
        <v>0</v>
      </c>
    </row>
    <row r="142" spans="23:38" x14ac:dyDescent="0.25">
      <c r="W142">
        <f t="shared" si="16"/>
        <v>0</v>
      </c>
      <c r="X142">
        <f t="shared" si="17"/>
        <v>0</v>
      </c>
      <c r="Y142">
        <f t="shared" si="17"/>
        <v>0</v>
      </c>
      <c r="Z142">
        <f t="shared" si="17"/>
        <v>0</v>
      </c>
      <c r="AA142">
        <f t="shared" si="17"/>
        <v>0</v>
      </c>
      <c r="AB142">
        <f t="shared" si="17"/>
        <v>0</v>
      </c>
      <c r="AC142">
        <f t="shared" si="17"/>
        <v>0</v>
      </c>
      <c r="AD142">
        <f t="shared" si="17"/>
        <v>0</v>
      </c>
      <c r="AE142">
        <f t="shared" si="17"/>
        <v>0</v>
      </c>
      <c r="AF142">
        <f t="shared" si="14"/>
        <v>0</v>
      </c>
      <c r="AG142">
        <f t="shared" si="14"/>
        <v>0</v>
      </c>
      <c r="AH142">
        <f t="shared" si="14"/>
        <v>0</v>
      </c>
      <c r="AI142">
        <f t="shared" si="14"/>
        <v>0</v>
      </c>
      <c r="AJ142">
        <f t="shared" si="14"/>
        <v>0</v>
      </c>
      <c r="AK142">
        <f t="shared" si="12"/>
        <v>0</v>
      </c>
      <c r="AL142">
        <f t="shared" si="15"/>
        <v>0</v>
      </c>
    </row>
    <row r="143" spans="23:38" x14ac:dyDescent="0.25">
      <c r="W143">
        <f t="shared" si="16"/>
        <v>0</v>
      </c>
      <c r="X143">
        <f t="shared" si="17"/>
        <v>0</v>
      </c>
      <c r="Y143">
        <f t="shared" si="17"/>
        <v>0</v>
      </c>
      <c r="Z143">
        <f t="shared" si="17"/>
        <v>0</v>
      </c>
      <c r="AA143">
        <f t="shared" si="17"/>
        <v>0</v>
      </c>
      <c r="AB143">
        <f t="shared" si="17"/>
        <v>0</v>
      </c>
      <c r="AC143">
        <f t="shared" si="17"/>
        <v>0</v>
      </c>
      <c r="AD143">
        <f t="shared" si="17"/>
        <v>0</v>
      </c>
      <c r="AE143">
        <f t="shared" si="17"/>
        <v>0</v>
      </c>
      <c r="AF143">
        <f t="shared" si="14"/>
        <v>0</v>
      </c>
      <c r="AG143">
        <f t="shared" si="14"/>
        <v>0</v>
      </c>
      <c r="AH143">
        <f t="shared" si="14"/>
        <v>0</v>
      </c>
      <c r="AI143">
        <f t="shared" si="14"/>
        <v>0</v>
      </c>
      <c r="AJ143">
        <f t="shared" si="14"/>
        <v>0</v>
      </c>
      <c r="AK143">
        <f t="shared" si="12"/>
        <v>0</v>
      </c>
      <c r="AL143">
        <f t="shared" si="15"/>
        <v>0</v>
      </c>
    </row>
    <row r="144" spans="23:38" x14ac:dyDescent="0.25">
      <c r="W144">
        <f t="shared" si="16"/>
        <v>0</v>
      </c>
      <c r="X144">
        <f t="shared" si="17"/>
        <v>0</v>
      </c>
      <c r="Y144">
        <f t="shared" si="17"/>
        <v>0</v>
      </c>
      <c r="Z144">
        <f t="shared" si="17"/>
        <v>0</v>
      </c>
      <c r="AA144">
        <f t="shared" si="17"/>
        <v>0</v>
      </c>
      <c r="AB144">
        <f t="shared" si="17"/>
        <v>0</v>
      </c>
      <c r="AC144">
        <f t="shared" si="17"/>
        <v>0</v>
      </c>
      <c r="AD144">
        <f t="shared" si="17"/>
        <v>0</v>
      </c>
      <c r="AE144">
        <f t="shared" si="17"/>
        <v>0</v>
      </c>
      <c r="AF144">
        <f t="shared" si="14"/>
        <v>0</v>
      </c>
      <c r="AG144">
        <f t="shared" si="14"/>
        <v>0</v>
      </c>
      <c r="AH144">
        <f t="shared" si="14"/>
        <v>0</v>
      </c>
      <c r="AI144">
        <f t="shared" si="14"/>
        <v>0</v>
      </c>
      <c r="AJ144">
        <f t="shared" si="14"/>
        <v>0</v>
      </c>
      <c r="AK144">
        <f t="shared" si="12"/>
        <v>0</v>
      </c>
      <c r="AL144">
        <f t="shared" si="15"/>
        <v>0</v>
      </c>
    </row>
    <row r="145" spans="23:38" x14ac:dyDescent="0.25">
      <c r="W145">
        <f t="shared" si="16"/>
        <v>0</v>
      </c>
      <c r="X145">
        <f t="shared" si="17"/>
        <v>0</v>
      </c>
      <c r="Y145">
        <f t="shared" si="17"/>
        <v>0</v>
      </c>
      <c r="Z145">
        <f t="shared" si="17"/>
        <v>0</v>
      </c>
      <c r="AA145">
        <f t="shared" si="17"/>
        <v>0</v>
      </c>
      <c r="AB145">
        <f t="shared" si="17"/>
        <v>0</v>
      </c>
      <c r="AC145">
        <f t="shared" si="17"/>
        <v>0</v>
      </c>
      <c r="AD145">
        <f t="shared" si="17"/>
        <v>0</v>
      </c>
      <c r="AE145">
        <f t="shared" si="17"/>
        <v>0</v>
      </c>
      <c r="AF145">
        <f t="shared" si="14"/>
        <v>0</v>
      </c>
      <c r="AG145">
        <f t="shared" si="14"/>
        <v>0</v>
      </c>
      <c r="AH145">
        <f t="shared" si="14"/>
        <v>0</v>
      </c>
      <c r="AI145">
        <f t="shared" si="14"/>
        <v>0</v>
      </c>
      <c r="AJ145">
        <f t="shared" si="14"/>
        <v>0</v>
      </c>
      <c r="AK145">
        <f t="shared" si="12"/>
        <v>0</v>
      </c>
      <c r="AL145">
        <f t="shared" si="15"/>
        <v>0</v>
      </c>
    </row>
    <row r="146" spans="23:38" x14ac:dyDescent="0.25">
      <c r="W146">
        <f t="shared" si="16"/>
        <v>0</v>
      </c>
      <c r="X146">
        <f t="shared" si="17"/>
        <v>0</v>
      </c>
      <c r="Y146">
        <f t="shared" si="17"/>
        <v>0</v>
      </c>
      <c r="Z146">
        <f t="shared" si="17"/>
        <v>0</v>
      </c>
      <c r="AA146">
        <f t="shared" si="17"/>
        <v>0</v>
      </c>
      <c r="AB146">
        <f t="shared" si="17"/>
        <v>0</v>
      </c>
      <c r="AC146">
        <f t="shared" si="17"/>
        <v>0</v>
      </c>
      <c r="AD146">
        <f t="shared" si="17"/>
        <v>0</v>
      </c>
      <c r="AE146">
        <f t="shared" si="17"/>
        <v>0</v>
      </c>
      <c r="AF146">
        <f t="shared" si="14"/>
        <v>0</v>
      </c>
      <c r="AG146">
        <f t="shared" si="14"/>
        <v>0</v>
      </c>
      <c r="AH146">
        <f t="shared" si="14"/>
        <v>0</v>
      </c>
      <c r="AI146">
        <f t="shared" si="14"/>
        <v>0</v>
      </c>
      <c r="AJ146">
        <f t="shared" si="14"/>
        <v>0</v>
      </c>
      <c r="AK146">
        <f t="shared" si="12"/>
        <v>0</v>
      </c>
      <c r="AL146">
        <f t="shared" si="15"/>
        <v>0</v>
      </c>
    </row>
    <row r="147" spans="23:38" x14ac:dyDescent="0.25">
      <c r="W147">
        <f t="shared" si="16"/>
        <v>0</v>
      </c>
      <c r="X147">
        <f t="shared" si="17"/>
        <v>0</v>
      </c>
      <c r="Y147">
        <f t="shared" si="17"/>
        <v>0</v>
      </c>
      <c r="Z147">
        <f t="shared" si="17"/>
        <v>0</v>
      </c>
      <c r="AA147">
        <f t="shared" si="17"/>
        <v>0</v>
      </c>
      <c r="AB147">
        <f t="shared" si="17"/>
        <v>0</v>
      </c>
      <c r="AC147">
        <f t="shared" si="17"/>
        <v>0</v>
      </c>
      <c r="AD147">
        <f t="shared" si="17"/>
        <v>0</v>
      </c>
      <c r="AE147">
        <f t="shared" si="17"/>
        <v>0</v>
      </c>
      <c r="AF147">
        <f t="shared" si="14"/>
        <v>0</v>
      </c>
      <c r="AG147">
        <f t="shared" si="14"/>
        <v>0</v>
      </c>
      <c r="AH147">
        <f t="shared" si="14"/>
        <v>0</v>
      </c>
      <c r="AI147">
        <f t="shared" si="14"/>
        <v>0</v>
      </c>
      <c r="AJ147">
        <f t="shared" si="14"/>
        <v>0</v>
      </c>
      <c r="AK147">
        <f t="shared" si="12"/>
        <v>0</v>
      </c>
      <c r="AL147">
        <f t="shared" si="15"/>
        <v>0</v>
      </c>
    </row>
    <row r="148" spans="23:38" x14ac:dyDescent="0.25">
      <c r="W148">
        <f t="shared" si="16"/>
        <v>0</v>
      </c>
      <c r="X148">
        <f t="shared" si="17"/>
        <v>0</v>
      </c>
      <c r="Y148">
        <f t="shared" si="17"/>
        <v>0</v>
      </c>
      <c r="Z148">
        <f t="shared" si="17"/>
        <v>0</v>
      </c>
      <c r="AA148">
        <f t="shared" si="17"/>
        <v>0</v>
      </c>
      <c r="AB148">
        <f t="shared" si="17"/>
        <v>0</v>
      </c>
      <c r="AC148">
        <f t="shared" si="17"/>
        <v>0</v>
      </c>
      <c r="AD148">
        <f t="shared" si="17"/>
        <v>0</v>
      </c>
      <c r="AE148">
        <f t="shared" si="17"/>
        <v>0</v>
      </c>
      <c r="AF148">
        <f t="shared" si="14"/>
        <v>0</v>
      </c>
      <c r="AG148">
        <f t="shared" si="14"/>
        <v>0</v>
      </c>
      <c r="AH148">
        <f t="shared" si="14"/>
        <v>0</v>
      </c>
      <c r="AI148">
        <f t="shared" si="14"/>
        <v>0</v>
      </c>
      <c r="AJ148">
        <f t="shared" si="14"/>
        <v>0</v>
      </c>
      <c r="AK148">
        <f t="shared" si="12"/>
        <v>0</v>
      </c>
      <c r="AL148">
        <f t="shared" si="15"/>
        <v>0</v>
      </c>
    </row>
    <row r="149" spans="23:38" x14ac:dyDescent="0.25">
      <c r="W149">
        <f t="shared" si="16"/>
        <v>0</v>
      </c>
      <c r="X149">
        <f t="shared" si="17"/>
        <v>0</v>
      </c>
      <c r="Y149">
        <f t="shared" si="17"/>
        <v>0</v>
      </c>
      <c r="Z149">
        <f t="shared" si="17"/>
        <v>0</v>
      </c>
      <c r="AA149">
        <f t="shared" si="17"/>
        <v>0</v>
      </c>
      <c r="AB149">
        <f t="shared" si="17"/>
        <v>0</v>
      </c>
      <c r="AC149">
        <f t="shared" si="17"/>
        <v>0</v>
      </c>
      <c r="AD149">
        <f t="shared" si="17"/>
        <v>0</v>
      </c>
      <c r="AE149">
        <f t="shared" si="17"/>
        <v>0</v>
      </c>
      <c r="AF149">
        <f t="shared" si="14"/>
        <v>0</v>
      </c>
      <c r="AG149">
        <f t="shared" si="14"/>
        <v>0</v>
      </c>
      <c r="AH149">
        <f t="shared" si="14"/>
        <v>0</v>
      </c>
      <c r="AI149">
        <f t="shared" si="14"/>
        <v>0</v>
      </c>
      <c r="AJ149">
        <f t="shared" si="14"/>
        <v>0</v>
      </c>
      <c r="AK149">
        <f t="shared" si="12"/>
        <v>0</v>
      </c>
      <c r="AL149">
        <f t="shared" si="15"/>
        <v>0</v>
      </c>
    </row>
    <row r="150" spans="23:38" x14ac:dyDescent="0.25">
      <c r="W150">
        <f t="shared" si="16"/>
        <v>0</v>
      </c>
      <c r="X150">
        <f t="shared" si="17"/>
        <v>0</v>
      </c>
      <c r="Y150">
        <f t="shared" si="17"/>
        <v>0</v>
      </c>
      <c r="Z150">
        <f t="shared" si="17"/>
        <v>0</v>
      </c>
      <c r="AA150">
        <f t="shared" si="17"/>
        <v>0</v>
      </c>
      <c r="AB150">
        <f t="shared" si="17"/>
        <v>0</v>
      </c>
      <c r="AC150">
        <f t="shared" si="17"/>
        <v>0</v>
      </c>
      <c r="AD150">
        <f t="shared" si="17"/>
        <v>0</v>
      </c>
      <c r="AE150">
        <f t="shared" si="17"/>
        <v>0</v>
      </c>
      <c r="AF150">
        <f t="shared" si="14"/>
        <v>0</v>
      </c>
      <c r="AG150">
        <f t="shared" si="14"/>
        <v>0</v>
      </c>
      <c r="AH150">
        <f t="shared" si="14"/>
        <v>0</v>
      </c>
      <c r="AI150">
        <f t="shared" si="14"/>
        <v>0</v>
      </c>
      <c r="AJ150">
        <f t="shared" si="14"/>
        <v>0</v>
      </c>
      <c r="AK150">
        <f t="shared" si="12"/>
        <v>0</v>
      </c>
      <c r="AL150">
        <f t="shared" si="15"/>
        <v>0</v>
      </c>
    </row>
    <row r="151" spans="23:38" x14ac:dyDescent="0.25">
      <c r="W151">
        <f t="shared" si="16"/>
        <v>0</v>
      </c>
      <c r="X151">
        <f t="shared" si="17"/>
        <v>0</v>
      </c>
      <c r="Y151">
        <f t="shared" si="17"/>
        <v>0</v>
      </c>
      <c r="Z151">
        <f t="shared" si="17"/>
        <v>0</v>
      </c>
      <c r="AA151">
        <f t="shared" si="17"/>
        <v>0</v>
      </c>
      <c r="AB151">
        <f t="shared" si="17"/>
        <v>0</v>
      </c>
      <c r="AC151">
        <f t="shared" si="17"/>
        <v>0</v>
      </c>
      <c r="AD151">
        <f t="shared" si="17"/>
        <v>0</v>
      </c>
      <c r="AE151">
        <f t="shared" si="17"/>
        <v>0</v>
      </c>
      <c r="AF151">
        <f t="shared" si="14"/>
        <v>0</v>
      </c>
      <c r="AG151">
        <f t="shared" si="14"/>
        <v>0</v>
      </c>
      <c r="AH151">
        <f t="shared" si="14"/>
        <v>0</v>
      </c>
      <c r="AI151">
        <f t="shared" si="14"/>
        <v>0</v>
      </c>
      <c r="AJ151">
        <f t="shared" si="14"/>
        <v>0</v>
      </c>
      <c r="AK151">
        <f t="shared" si="12"/>
        <v>0</v>
      </c>
      <c r="AL151">
        <f t="shared" si="15"/>
        <v>0</v>
      </c>
    </row>
    <row r="152" spans="23:38" x14ac:dyDescent="0.25">
      <c r="W152">
        <f t="shared" si="16"/>
        <v>0</v>
      </c>
      <c r="X152">
        <f t="shared" si="17"/>
        <v>0</v>
      </c>
      <c r="Y152">
        <f t="shared" si="17"/>
        <v>0</v>
      </c>
      <c r="Z152">
        <f t="shared" si="17"/>
        <v>0</v>
      </c>
      <c r="AA152">
        <f t="shared" si="17"/>
        <v>0</v>
      </c>
      <c r="AB152">
        <f t="shared" si="17"/>
        <v>0</v>
      </c>
      <c r="AC152">
        <f t="shared" si="17"/>
        <v>0</v>
      </c>
      <c r="AD152">
        <f t="shared" si="17"/>
        <v>0</v>
      </c>
      <c r="AE152">
        <f t="shared" si="17"/>
        <v>0</v>
      </c>
      <c r="AF152">
        <f t="shared" si="14"/>
        <v>0</v>
      </c>
      <c r="AG152">
        <f t="shared" si="14"/>
        <v>0</v>
      </c>
      <c r="AH152">
        <f t="shared" si="14"/>
        <v>0</v>
      </c>
      <c r="AI152">
        <f t="shared" si="14"/>
        <v>0</v>
      </c>
      <c r="AJ152">
        <f t="shared" si="14"/>
        <v>0</v>
      </c>
      <c r="AK152">
        <f t="shared" si="12"/>
        <v>0</v>
      </c>
      <c r="AL152">
        <f t="shared" si="15"/>
        <v>0</v>
      </c>
    </row>
    <row r="153" spans="23:38" x14ac:dyDescent="0.25">
      <c r="W153">
        <f t="shared" si="16"/>
        <v>0</v>
      </c>
      <c r="X153">
        <f t="shared" si="17"/>
        <v>0</v>
      </c>
      <c r="Y153">
        <f t="shared" si="17"/>
        <v>0</v>
      </c>
      <c r="Z153">
        <f t="shared" si="17"/>
        <v>0</v>
      </c>
      <c r="AA153">
        <f t="shared" si="17"/>
        <v>0</v>
      </c>
      <c r="AB153">
        <f t="shared" si="17"/>
        <v>0</v>
      </c>
      <c r="AC153">
        <f t="shared" si="17"/>
        <v>0</v>
      </c>
      <c r="AD153">
        <f t="shared" si="17"/>
        <v>0</v>
      </c>
      <c r="AE153">
        <f t="shared" si="17"/>
        <v>0</v>
      </c>
      <c r="AF153">
        <f t="shared" si="14"/>
        <v>0</v>
      </c>
      <c r="AG153">
        <f t="shared" si="14"/>
        <v>0</v>
      </c>
      <c r="AH153">
        <f t="shared" si="14"/>
        <v>0</v>
      </c>
      <c r="AI153">
        <f t="shared" si="14"/>
        <v>0</v>
      </c>
      <c r="AJ153">
        <f t="shared" si="14"/>
        <v>0</v>
      </c>
      <c r="AK153">
        <f t="shared" si="12"/>
        <v>0</v>
      </c>
      <c r="AL153">
        <f t="shared" si="15"/>
        <v>0</v>
      </c>
    </row>
    <row r="154" spans="23:38" x14ac:dyDescent="0.25">
      <c r="W154">
        <f t="shared" si="16"/>
        <v>0</v>
      </c>
      <c r="X154">
        <f t="shared" si="17"/>
        <v>0</v>
      </c>
      <c r="Y154">
        <f t="shared" si="17"/>
        <v>0</v>
      </c>
      <c r="Z154">
        <f t="shared" si="17"/>
        <v>0</v>
      </c>
      <c r="AA154">
        <f t="shared" si="17"/>
        <v>0</v>
      </c>
      <c r="AB154">
        <f t="shared" si="17"/>
        <v>0</v>
      </c>
      <c r="AC154">
        <f t="shared" si="17"/>
        <v>0</v>
      </c>
      <c r="AD154">
        <f t="shared" si="17"/>
        <v>0</v>
      </c>
      <c r="AE154">
        <f t="shared" si="17"/>
        <v>0</v>
      </c>
      <c r="AF154">
        <f t="shared" si="14"/>
        <v>0</v>
      </c>
      <c r="AG154">
        <f t="shared" si="14"/>
        <v>0</v>
      </c>
      <c r="AH154">
        <f t="shared" si="14"/>
        <v>0</v>
      </c>
      <c r="AI154">
        <f t="shared" si="14"/>
        <v>0</v>
      </c>
      <c r="AJ154">
        <f t="shared" si="14"/>
        <v>0</v>
      </c>
      <c r="AK154">
        <f t="shared" si="12"/>
        <v>0</v>
      </c>
      <c r="AL154">
        <f t="shared" si="15"/>
        <v>0</v>
      </c>
    </row>
    <row r="155" spans="23:38" x14ac:dyDescent="0.25">
      <c r="W155">
        <f t="shared" si="16"/>
        <v>0</v>
      </c>
      <c r="X155">
        <f t="shared" si="17"/>
        <v>0</v>
      </c>
      <c r="Y155">
        <f t="shared" si="17"/>
        <v>0</v>
      </c>
      <c r="Z155">
        <f t="shared" si="17"/>
        <v>0</v>
      </c>
      <c r="AA155">
        <f t="shared" si="17"/>
        <v>0</v>
      </c>
      <c r="AB155">
        <f t="shared" si="17"/>
        <v>0</v>
      </c>
      <c r="AC155">
        <f t="shared" si="17"/>
        <v>0</v>
      </c>
      <c r="AD155">
        <f t="shared" si="17"/>
        <v>0</v>
      </c>
      <c r="AE155">
        <f t="shared" si="17"/>
        <v>0</v>
      </c>
      <c r="AF155">
        <f t="shared" si="14"/>
        <v>0</v>
      </c>
      <c r="AG155">
        <f t="shared" si="14"/>
        <v>0</v>
      </c>
      <c r="AH155">
        <f t="shared" si="14"/>
        <v>0</v>
      </c>
      <c r="AI155">
        <f t="shared" si="14"/>
        <v>0</v>
      </c>
      <c r="AJ155">
        <f t="shared" si="14"/>
        <v>0</v>
      </c>
      <c r="AK155">
        <f t="shared" si="12"/>
        <v>0</v>
      </c>
      <c r="AL155">
        <f t="shared" si="15"/>
        <v>0</v>
      </c>
    </row>
    <row r="156" spans="23:38" x14ac:dyDescent="0.25">
      <c r="W156">
        <f t="shared" si="16"/>
        <v>0</v>
      </c>
      <c r="X156">
        <f t="shared" si="17"/>
        <v>0</v>
      </c>
      <c r="Y156">
        <f t="shared" si="17"/>
        <v>0</v>
      </c>
      <c r="Z156">
        <f t="shared" si="17"/>
        <v>0</v>
      </c>
      <c r="AA156">
        <f t="shared" si="17"/>
        <v>0</v>
      </c>
      <c r="AB156">
        <f t="shared" si="17"/>
        <v>0</v>
      </c>
      <c r="AC156">
        <f t="shared" si="17"/>
        <v>0</v>
      </c>
      <c r="AD156">
        <f t="shared" si="17"/>
        <v>0</v>
      </c>
      <c r="AE156">
        <f t="shared" si="17"/>
        <v>0</v>
      </c>
      <c r="AF156">
        <f t="shared" si="14"/>
        <v>0</v>
      </c>
      <c r="AG156">
        <f t="shared" si="14"/>
        <v>0</v>
      </c>
      <c r="AH156">
        <f t="shared" si="14"/>
        <v>0</v>
      </c>
      <c r="AI156">
        <f t="shared" si="14"/>
        <v>0</v>
      </c>
      <c r="AJ156">
        <f t="shared" si="14"/>
        <v>0</v>
      </c>
      <c r="AK156">
        <f t="shared" si="12"/>
        <v>0</v>
      </c>
      <c r="AL156">
        <f t="shared" si="15"/>
        <v>0</v>
      </c>
    </row>
    <row r="157" spans="23:38" x14ac:dyDescent="0.25">
      <c r="W157">
        <f t="shared" si="16"/>
        <v>0</v>
      </c>
      <c r="X157">
        <f t="shared" si="17"/>
        <v>0</v>
      </c>
      <c r="Y157">
        <f t="shared" si="17"/>
        <v>0</v>
      </c>
      <c r="Z157">
        <f t="shared" si="17"/>
        <v>0</v>
      </c>
      <c r="AA157">
        <f t="shared" si="17"/>
        <v>0</v>
      </c>
      <c r="AB157">
        <f t="shared" si="17"/>
        <v>0</v>
      </c>
      <c r="AC157">
        <f t="shared" si="17"/>
        <v>0</v>
      </c>
      <c r="AD157">
        <f t="shared" si="17"/>
        <v>0</v>
      </c>
      <c r="AE157">
        <f t="shared" si="17"/>
        <v>0</v>
      </c>
      <c r="AF157">
        <f t="shared" si="14"/>
        <v>0</v>
      </c>
      <c r="AG157">
        <f t="shared" si="14"/>
        <v>0</v>
      </c>
      <c r="AH157">
        <f t="shared" si="14"/>
        <v>0</v>
      </c>
      <c r="AI157">
        <f t="shared" si="14"/>
        <v>0</v>
      </c>
      <c r="AJ157">
        <f t="shared" si="14"/>
        <v>0</v>
      </c>
      <c r="AK157">
        <f t="shared" si="12"/>
        <v>0</v>
      </c>
      <c r="AL157">
        <f t="shared" si="15"/>
        <v>0</v>
      </c>
    </row>
    <row r="158" spans="23:38" x14ac:dyDescent="0.25">
      <c r="W158">
        <f t="shared" si="16"/>
        <v>0</v>
      </c>
      <c r="X158">
        <f t="shared" si="17"/>
        <v>0</v>
      </c>
      <c r="Y158">
        <f t="shared" si="17"/>
        <v>0</v>
      </c>
      <c r="Z158">
        <f t="shared" si="17"/>
        <v>0</v>
      </c>
      <c r="AA158">
        <f t="shared" si="17"/>
        <v>0</v>
      </c>
      <c r="AB158">
        <f t="shared" si="17"/>
        <v>0</v>
      </c>
      <c r="AC158">
        <f t="shared" si="17"/>
        <v>0</v>
      </c>
      <c r="AD158">
        <f t="shared" si="17"/>
        <v>0</v>
      </c>
      <c r="AE158">
        <f t="shared" si="17"/>
        <v>0</v>
      </c>
      <c r="AF158">
        <f t="shared" si="14"/>
        <v>0</v>
      </c>
      <c r="AG158">
        <f t="shared" si="14"/>
        <v>0</v>
      </c>
      <c r="AH158">
        <f t="shared" si="14"/>
        <v>0</v>
      </c>
      <c r="AI158">
        <f t="shared" si="14"/>
        <v>0</v>
      </c>
      <c r="AJ158">
        <f t="shared" si="14"/>
        <v>0</v>
      </c>
      <c r="AK158">
        <f t="shared" si="12"/>
        <v>0</v>
      </c>
      <c r="AL158">
        <f t="shared" si="15"/>
        <v>0</v>
      </c>
    </row>
    <row r="159" spans="23:38" x14ac:dyDescent="0.25">
      <c r="W159">
        <f t="shared" si="16"/>
        <v>0</v>
      </c>
      <c r="X159">
        <f t="shared" si="17"/>
        <v>0</v>
      </c>
      <c r="Y159">
        <f t="shared" si="17"/>
        <v>0</v>
      </c>
      <c r="Z159">
        <f t="shared" si="17"/>
        <v>0</v>
      </c>
      <c r="AA159">
        <f t="shared" si="17"/>
        <v>0</v>
      </c>
      <c r="AB159">
        <f t="shared" si="17"/>
        <v>0</v>
      </c>
      <c r="AC159">
        <f t="shared" si="17"/>
        <v>0</v>
      </c>
      <c r="AD159">
        <f t="shared" si="17"/>
        <v>0</v>
      </c>
      <c r="AE159">
        <f t="shared" si="17"/>
        <v>0</v>
      </c>
      <c r="AF159">
        <f t="shared" si="14"/>
        <v>0</v>
      </c>
      <c r="AG159">
        <f t="shared" si="14"/>
        <v>0</v>
      </c>
      <c r="AH159">
        <f t="shared" si="14"/>
        <v>0</v>
      </c>
      <c r="AI159">
        <f t="shared" si="14"/>
        <v>0</v>
      </c>
      <c r="AJ159">
        <f t="shared" si="14"/>
        <v>0</v>
      </c>
      <c r="AK159">
        <f t="shared" si="12"/>
        <v>0</v>
      </c>
      <c r="AL159">
        <f t="shared" si="15"/>
        <v>0</v>
      </c>
    </row>
    <row r="160" spans="23:38" x14ac:dyDescent="0.25">
      <c r="W160">
        <f t="shared" si="16"/>
        <v>0</v>
      </c>
      <c r="X160">
        <f t="shared" si="17"/>
        <v>0</v>
      </c>
      <c r="Y160">
        <f t="shared" si="17"/>
        <v>0</v>
      </c>
      <c r="Z160">
        <f t="shared" si="17"/>
        <v>0</v>
      </c>
      <c r="AA160">
        <f t="shared" si="17"/>
        <v>0</v>
      </c>
      <c r="AB160">
        <f t="shared" si="17"/>
        <v>0</v>
      </c>
      <c r="AC160">
        <f t="shared" si="17"/>
        <v>0</v>
      </c>
      <c r="AD160">
        <f t="shared" si="17"/>
        <v>0</v>
      </c>
      <c r="AE160">
        <f t="shared" si="17"/>
        <v>0</v>
      </c>
      <c r="AF160">
        <f t="shared" si="14"/>
        <v>0</v>
      </c>
      <c r="AG160">
        <f t="shared" si="14"/>
        <v>0</v>
      </c>
      <c r="AH160">
        <f t="shared" si="14"/>
        <v>0</v>
      </c>
      <c r="AI160">
        <f t="shared" si="14"/>
        <v>0</v>
      </c>
      <c r="AJ160">
        <f t="shared" si="14"/>
        <v>0</v>
      </c>
      <c r="AK160">
        <f t="shared" si="12"/>
        <v>0</v>
      </c>
      <c r="AL160">
        <f t="shared" si="15"/>
        <v>0</v>
      </c>
    </row>
    <row r="161" spans="23:38" x14ac:dyDescent="0.25">
      <c r="W161">
        <f t="shared" si="16"/>
        <v>0</v>
      </c>
      <c r="X161">
        <f t="shared" si="17"/>
        <v>0</v>
      </c>
      <c r="Y161">
        <f t="shared" si="17"/>
        <v>0</v>
      </c>
      <c r="Z161">
        <f t="shared" si="17"/>
        <v>0</v>
      </c>
      <c r="AA161">
        <f t="shared" si="17"/>
        <v>0</v>
      </c>
      <c r="AB161">
        <f t="shared" si="17"/>
        <v>0</v>
      </c>
      <c r="AC161">
        <f t="shared" si="17"/>
        <v>0</v>
      </c>
      <c r="AD161">
        <f t="shared" si="17"/>
        <v>0</v>
      </c>
      <c r="AE161">
        <f t="shared" si="17"/>
        <v>0</v>
      </c>
      <c r="AF161">
        <f t="shared" si="14"/>
        <v>0</v>
      </c>
      <c r="AG161">
        <f t="shared" si="14"/>
        <v>0</v>
      </c>
      <c r="AH161">
        <f t="shared" si="14"/>
        <v>0</v>
      </c>
      <c r="AI161">
        <f t="shared" si="14"/>
        <v>0</v>
      </c>
      <c r="AJ161">
        <f t="shared" si="14"/>
        <v>0</v>
      </c>
      <c r="AK161">
        <f t="shared" si="12"/>
        <v>0</v>
      </c>
      <c r="AL161">
        <f t="shared" si="15"/>
        <v>0</v>
      </c>
    </row>
    <row r="162" spans="23:38" x14ac:dyDescent="0.25">
      <c r="W162">
        <f t="shared" si="16"/>
        <v>0</v>
      </c>
      <c r="X162">
        <f t="shared" si="17"/>
        <v>0</v>
      </c>
      <c r="Y162">
        <f t="shared" si="17"/>
        <v>0</v>
      </c>
      <c r="Z162">
        <f t="shared" si="17"/>
        <v>0</v>
      </c>
      <c r="AA162">
        <f t="shared" si="17"/>
        <v>0</v>
      </c>
      <c r="AB162">
        <f t="shared" si="17"/>
        <v>0</v>
      </c>
      <c r="AC162">
        <f t="shared" si="17"/>
        <v>0</v>
      </c>
      <c r="AD162">
        <f t="shared" si="17"/>
        <v>0</v>
      </c>
      <c r="AE162">
        <f t="shared" si="17"/>
        <v>0</v>
      </c>
      <c r="AF162">
        <f t="shared" si="14"/>
        <v>0</v>
      </c>
      <c r="AG162">
        <f t="shared" si="14"/>
        <v>0</v>
      </c>
      <c r="AH162">
        <f t="shared" si="14"/>
        <v>0</v>
      </c>
      <c r="AI162">
        <f t="shared" si="14"/>
        <v>0</v>
      </c>
      <c r="AJ162">
        <f t="shared" si="14"/>
        <v>0</v>
      </c>
      <c r="AK162">
        <f t="shared" si="12"/>
        <v>0</v>
      </c>
      <c r="AL162">
        <f t="shared" si="15"/>
        <v>0</v>
      </c>
    </row>
    <row r="163" spans="23:38" x14ac:dyDescent="0.25">
      <c r="W163">
        <f t="shared" si="16"/>
        <v>0</v>
      </c>
      <c r="X163">
        <f t="shared" si="17"/>
        <v>0</v>
      </c>
      <c r="Y163">
        <f t="shared" si="17"/>
        <v>0</v>
      </c>
      <c r="Z163">
        <f t="shared" si="17"/>
        <v>0</v>
      </c>
      <c r="AA163">
        <f t="shared" si="17"/>
        <v>0</v>
      </c>
      <c r="AB163">
        <f t="shared" si="17"/>
        <v>0</v>
      </c>
      <c r="AC163">
        <f t="shared" si="17"/>
        <v>0</v>
      </c>
      <c r="AD163">
        <f t="shared" si="17"/>
        <v>0</v>
      </c>
      <c r="AE163">
        <f t="shared" si="17"/>
        <v>0</v>
      </c>
      <c r="AF163">
        <f t="shared" si="14"/>
        <v>0</v>
      </c>
      <c r="AG163">
        <f t="shared" si="14"/>
        <v>0</v>
      </c>
      <c r="AH163">
        <f t="shared" si="14"/>
        <v>0</v>
      </c>
      <c r="AI163">
        <f t="shared" si="14"/>
        <v>0</v>
      </c>
      <c r="AJ163">
        <f t="shared" si="14"/>
        <v>0</v>
      </c>
      <c r="AK163">
        <f t="shared" si="12"/>
        <v>0</v>
      </c>
      <c r="AL163">
        <f t="shared" si="15"/>
        <v>0</v>
      </c>
    </row>
    <row r="164" spans="23:38" x14ac:dyDescent="0.25">
      <c r="W164">
        <f t="shared" si="16"/>
        <v>0</v>
      </c>
      <c r="X164">
        <f t="shared" si="17"/>
        <v>0</v>
      </c>
      <c r="Y164">
        <f t="shared" si="17"/>
        <v>0</v>
      </c>
      <c r="Z164">
        <f t="shared" si="17"/>
        <v>0</v>
      </c>
      <c r="AA164">
        <f t="shared" si="17"/>
        <v>0</v>
      </c>
      <c r="AB164">
        <f t="shared" si="17"/>
        <v>0</v>
      </c>
      <c r="AC164">
        <f t="shared" si="17"/>
        <v>0</v>
      </c>
      <c r="AD164">
        <f t="shared" si="17"/>
        <v>0</v>
      </c>
      <c r="AE164">
        <f t="shared" si="17"/>
        <v>0</v>
      </c>
      <c r="AF164">
        <f t="shared" si="14"/>
        <v>0</v>
      </c>
      <c r="AG164">
        <f t="shared" si="14"/>
        <v>0</v>
      </c>
      <c r="AH164">
        <f t="shared" si="14"/>
        <v>0</v>
      </c>
      <c r="AI164">
        <f t="shared" si="14"/>
        <v>0</v>
      </c>
      <c r="AJ164">
        <f t="shared" si="14"/>
        <v>0</v>
      </c>
      <c r="AK164">
        <f t="shared" si="12"/>
        <v>0</v>
      </c>
      <c r="AL164">
        <f t="shared" si="15"/>
        <v>0</v>
      </c>
    </row>
    <row r="165" spans="23:38" x14ac:dyDescent="0.25">
      <c r="W165">
        <f t="shared" si="16"/>
        <v>0</v>
      </c>
      <c r="X165">
        <f t="shared" si="17"/>
        <v>0</v>
      </c>
      <c r="Y165">
        <f t="shared" si="17"/>
        <v>0</v>
      </c>
      <c r="Z165">
        <f t="shared" si="17"/>
        <v>0</v>
      </c>
      <c r="AA165">
        <f t="shared" si="17"/>
        <v>0</v>
      </c>
      <c r="AB165">
        <f t="shared" si="17"/>
        <v>0</v>
      </c>
      <c r="AC165">
        <f t="shared" si="17"/>
        <v>0</v>
      </c>
      <c r="AD165">
        <f t="shared" si="17"/>
        <v>0</v>
      </c>
      <c r="AE165">
        <f t="shared" ref="AE165:AE199" si="18">_xlfn.IFNA(LOOKUP(I165,$T$6:$T$25,$U$6:$U$25),0)+COUNTIF(I$1:I$3,$W165)</f>
        <v>0</v>
      </c>
      <c r="AF165">
        <f t="shared" si="14"/>
        <v>0</v>
      </c>
      <c r="AG165">
        <f t="shared" si="14"/>
        <v>0</v>
      </c>
      <c r="AH165">
        <f t="shared" si="14"/>
        <v>0</v>
      </c>
      <c r="AI165">
        <f t="shared" si="14"/>
        <v>0</v>
      </c>
      <c r="AJ165">
        <f t="shared" si="14"/>
        <v>0</v>
      </c>
      <c r="AK165">
        <f t="shared" si="12"/>
        <v>0</v>
      </c>
      <c r="AL165">
        <f t="shared" si="15"/>
        <v>0</v>
      </c>
    </row>
    <row r="166" spans="23:38" x14ac:dyDescent="0.25">
      <c r="W166">
        <f t="shared" si="16"/>
        <v>0</v>
      </c>
      <c r="X166">
        <f t="shared" ref="X166:AD200" si="19">_xlfn.IFNA(LOOKUP(B166,$T$6:$T$25,$U$6:$U$25),0)+COUNTIF(B$1:B$3,$W166)</f>
        <v>0</v>
      </c>
      <c r="Y166">
        <f t="shared" si="19"/>
        <v>0</v>
      </c>
      <c r="Z166">
        <f t="shared" si="19"/>
        <v>0</v>
      </c>
      <c r="AA166">
        <f t="shared" si="19"/>
        <v>0</v>
      </c>
      <c r="AB166">
        <f t="shared" si="19"/>
        <v>0</v>
      </c>
      <c r="AC166">
        <f t="shared" si="19"/>
        <v>0</v>
      </c>
      <c r="AD166">
        <f t="shared" si="19"/>
        <v>0</v>
      </c>
      <c r="AE166">
        <f t="shared" si="18"/>
        <v>0</v>
      </c>
      <c r="AF166">
        <f t="shared" si="14"/>
        <v>0</v>
      </c>
      <c r="AG166">
        <f t="shared" si="14"/>
        <v>0</v>
      </c>
      <c r="AH166">
        <f t="shared" si="14"/>
        <v>0</v>
      </c>
      <c r="AI166">
        <f t="shared" si="14"/>
        <v>0</v>
      </c>
      <c r="AJ166">
        <f t="shared" si="14"/>
        <v>0</v>
      </c>
      <c r="AK166">
        <f t="shared" si="12"/>
        <v>0</v>
      </c>
      <c r="AL166">
        <f t="shared" si="15"/>
        <v>0</v>
      </c>
    </row>
    <row r="167" spans="23:38" x14ac:dyDescent="0.25">
      <c r="W167">
        <f t="shared" si="16"/>
        <v>0</v>
      </c>
      <c r="X167">
        <f t="shared" si="19"/>
        <v>0</v>
      </c>
      <c r="Y167">
        <f t="shared" si="19"/>
        <v>0</v>
      </c>
      <c r="Z167">
        <f t="shared" si="19"/>
        <v>0</v>
      </c>
      <c r="AA167">
        <f t="shared" si="19"/>
        <v>0</v>
      </c>
      <c r="AB167">
        <f t="shared" si="19"/>
        <v>0</v>
      </c>
      <c r="AC167">
        <f t="shared" si="19"/>
        <v>0</v>
      </c>
      <c r="AD167">
        <f t="shared" si="19"/>
        <v>0</v>
      </c>
      <c r="AE167">
        <f t="shared" si="18"/>
        <v>0</v>
      </c>
      <c r="AF167">
        <f t="shared" si="14"/>
        <v>0</v>
      </c>
      <c r="AG167">
        <f t="shared" si="14"/>
        <v>0</v>
      </c>
      <c r="AH167">
        <f t="shared" si="14"/>
        <v>0</v>
      </c>
      <c r="AI167">
        <f t="shared" si="14"/>
        <v>0</v>
      </c>
      <c r="AJ167">
        <f t="shared" si="14"/>
        <v>0</v>
      </c>
      <c r="AK167">
        <f t="shared" si="12"/>
        <v>0</v>
      </c>
      <c r="AL167">
        <f t="shared" si="15"/>
        <v>0</v>
      </c>
    </row>
    <row r="168" spans="23:38" x14ac:dyDescent="0.25">
      <c r="W168">
        <f t="shared" si="16"/>
        <v>0</v>
      </c>
      <c r="AL168">
        <f t="shared" si="15"/>
        <v>0</v>
      </c>
    </row>
    <row r="169" spans="23:38" x14ac:dyDescent="0.25">
      <c r="AL169">
        <f t="shared" si="1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Drivers</vt:lpstr>
      <vt:lpstr>Constructors</vt:lpstr>
      <vt:lpstr>Top</vt:lpstr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Kristofer Collier (kc4g20)</dc:creator>
  <cp:lastModifiedBy>Kristofer Collier (kc4g20)</cp:lastModifiedBy>
  <dcterms:created xsi:type="dcterms:W3CDTF">2023-12-22T18:04:00Z</dcterms:created>
  <dcterms:modified xsi:type="dcterms:W3CDTF">2023-12-22T23:33:38Z</dcterms:modified>
</cp:coreProperties>
</file>